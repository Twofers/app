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nvme\Downloads\"/>
    </mc:Choice>
  </mc:AlternateContent>
  <xr:revisionPtr revIDLastSave="0" documentId="8_{F04C77AE-CDFB-42E6-8C83-64E09803324D}" xr6:coauthVersionLast="47" xr6:coauthVersionMax="47" xr10:uidLastSave="{00000000-0000-0000-0000-000000000000}"/>
  <bookViews>
    <workbookView xWindow="5980" yWindow="5370" windowWidth="7500" windowHeight="6000" tabRatio="500" activeTab="1" xr2:uid="{00000000-000D-0000-FFFF-FFFF00000000}"/>
  </bookViews>
  <sheets>
    <sheet name="Dashboard" sheetId="1" r:id="rId1"/>
    <sheet name="AR Delinquent Report" sheetId="2" r:id="rId2"/>
  </sheets>
  <definedNames>
    <definedName name="_xlnm._FilterDatabase" localSheetId="1" hidden="1">'AR Delinquent Report'!$A$1:$K$536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1" l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1" i="1"/>
  <c r="B21" i="1"/>
  <c r="C20" i="1"/>
  <c r="E20" i="1" s="1"/>
  <c r="B20" i="1"/>
  <c r="C19" i="1"/>
  <c r="E19" i="1" s="1"/>
  <c r="B19" i="1"/>
  <c r="C18" i="1"/>
  <c r="E18" i="1" s="1"/>
  <c r="B18" i="1"/>
  <c r="C17" i="1"/>
  <c r="E17" i="1" s="1"/>
  <c r="B17" i="1"/>
  <c r="C16" i="1"/>
  <c r="E16" i="1" s="1"/>
  <c r="B16" i="1"/>
  <c r="C15" i="1"/>
  <c r="E15" i="1" s="1"/>
  <c r="B15" i="1"/>
  <c r="C11" i="1"/>
  <c r="C10" i="1"/>
  <c r="C9" i="1"/>
  <c r="C8" i="1"/>
  <c r="C7" i="1"/>
  <c r="D36" i="1" s="1"/>
  <c r="C6" i="1"/>
  <c r="C22" i="1" s="1"/>
  <c r="C37" i="1" l="1"/>
  <c r="D15" i="1"/>
  <c r="D22" i="1" s="1"/>
  <c r="D19" i="1"/>
  <c r="E27" i="1"/>
  <c r="E31" i="1"/>
  <c r="E35" i="1"/>
  <c r="E28" i="1"/>
  <c r="E32" i="1"/>
  <c r="E36" i="1"/>
  <c r="E26" i="1"/>
  <c r="D16" i="1"/>
  <c r="D20" i="1"/>
  <c r="D17" i="1"/>
  <c r="D21" i="1"/>
  <c r="E21" i="1"/>
  <c r="E29" i="1"/>
  <c r="E33" i="1"/>
  <c r="D18" i="1"/>
  <c r="E30" i="1"/>
  <c r="E34" i="1"/>
  <c r="B22" i="1"/>
  <c r="E22" i="1" s="1"/>
  <c r="B37" i="1"/>
  <c r="E37" i="1" s="1"/>
  <c r="D27" i="1"/>
  <c r="D29" i="1"/>
  <c r="D31" i="1"/>
  <c r="D33" i="1"/>
  <c r="D35" i="1"/>
  <c r="D26" i="1"/>
  <c r="D28" i="1"/>
  <c r="D30" i="1"/>
  <c r="D32" i="1"/>
  <c r="D34" i="1"/>
  <c r="D37" i="1" l="1"/>
</calcChain>
</file>

<file path=xl/sharedStrings.xml><?xml version="1.0" encoding="utf-8"?>
<sst xmlns="http://schemas.openxmlformats.org/spreadsheetml/2006/main" count="883" uniqueCount="51">
  <si>
    <t>AR DELINQUENT REPORT - SUMMARY DASHBOARD</t>
  </si>
  <si>
    <t>Valley Ranch Master</t>
  </si>
  <si>
    <t>Report Date: 4/17/2026 (Posted Date: 3/31/2026)</t>
  </si>
  <si>
    <t>KEY METRICS</t>
  </si>
  <si>
    <t>Total Delinquent Accounts</t>
  </si>
  <si>
    <t>Total Outstanding Balance</t>
  </si>
  <si>
    <t>Average Balance per Account</t>
  </si>
  <si>
    <t>Highest Balance</t>
  </si>
  <si>
    <t>Accounts Over $10,000</t>
  </si>
  <si>
    <t>Accounts Over $1,000</t>
  </si>
  <si>
    <t>AGING BUCKET SUMMARY</t>
  </si>
  <si>
    <t>Aging Bucket</t>
  </si>
  <si>
    <t>Total Amount</t>
  </si>
  <si>
    <t># of Accounts</t>
  </si>
  <si>
    <t>% of Total $</t>
  </si>
  <si>
    <t>Avg per Account</t>
  </si>
  <si>
    <t>Current</t>
  </si>
  <si>
    <t>30-59 Days</t>
  </si>
  <si>
    <t>60-89 Days</t>
  </si>
  <si>
    <t>90 Days</t>
  </si>
  <si>
    <t>120 Days</t>
  </si>
  <si>
    <t>150 Days</t>
  </si>
  <si>
    <t>&gt;180 Days</t>
  </si>
  <si>
    <t>TOTAL</t>
  </si>
  <si>
    <t>SUMMARY BY COLLECTION STAGE</t>
  </si>
  <si>
    <t>Collection Stage</t>
  </si>
  <si>
    <t># Accounts</t>
  </si>
  <si>
    <t>Total Balance</t>
  </si>
  <si>
    <t>% of Total</t>
  </si>
  <si>
    <t>Avg Balance</t>
  </si>
  <si>
    <t>Attny</t>
  </si>
  <si>
    <t>Attny Bankruptcy</t>
  </si>
  <si>
    <t>Bankruptcy</t>
  </si>
  <si>
    <t>Demand Lien Notice</t>
  </si>
  <si>
    <t>Initial Late Letter</t>
  </si>
  <si>
    <t>Payment Plan</t>
  </si>
  <si>
    <t>Pending Board</t>
  </si>
  <si>
    <t>Pre-Bankruptcy</t>
  </si>
  <si>
    <t>Pre-Bankruptcy Attny</t>
  </si>
  <si>
    <t>Pre-Bankruptcy Bankruptcy</t>
  </si>
  <si>
    <t>(No Stage Assigned)</t>
  </si>
  <si>
    <t>TOP 10 HIGH PRIORITY ACCOUNTS (by Total Balance)</t>
  </si>
  <si>
    <t>Rank</t>
  </si>
  <si>
    <t>Acct #</t>
  </si>
  <si>
    <t>Balance</t>
  </si>
  <si>
    <t>TOP 10 OLDEST AGING ACCOUNTS (by &gt;180 Days Balance)</t>
  </si>
  <si>
    <t>Status</t>
  </si>
  <si>
    <t>Section</t>
  </si>
  <si>
    <t>Master</t>
  </si>
  <si>
    <t>Commercial</t>
  </si>
  <si>
    <t>Unbillable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</si>
</sst>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&quot;($&quot;#,##0.00\);\-"/>
    <numFmt numFmtId="165" formatCode="0.0%"/>
    <numFmt numFmtId="166" formatCode="#,##0.00;\(#,##0.00\);\-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2"/>
      <color rgb="FF1F4E78"/>
      <name val="Arial"/>
      <family val="2"/>
    </font>
    <font>
      <i/>
      <sz val="10"/>
      <color rgb="FF595959"/>
      <name val="Arial"/>
      <family val="2"/>
    </font>
    <font>
      <b/>
      <sz val="12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B9BD5"/>
        <bgColor rgb="FF969696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3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7" fillId="4" borderId="1" xfId="0" applyFont="1" applyFill="1" applyBorder="1" applyAlignment="1">
      <alignment horizontal="center"/>
    </xf>
    <xf numFmtId="0" fontId="5" fillId="0" borderId="1" xfId="0" applyFont="1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0" fontId="6" fillId="5" borderId="1" xfId="0" applyFont="1" applyFill="1" applyBorder="1"/>
    <xf numFmtId="164" fontId="6" fillId="5" borderId="1" xfId="0" applyNumberFormat="1" applyFont="1" applyFill="1" applyBorder="1"/>
    <xf numFmtId="3" fontId="6" fillId="5" borderId="1" xfId="0" applyNumberFormat="1" applyFont="1" applyFill="1" applyBorder="1"/>
    <xf numFmtId="165" fontId="6" fillId="5" borderId="1" xfId="0" applyNumberFormat="1" applyFont="1" applyFill="1" applyBorder="1"/>
    <xf numFmtId="3" fontId="5" fillId="0" borderId="1" xfId="0" applyNumberFormat="1" applyFont="1" applyBorder="1" applyAlignment="1">
      <alignment horizontal="center"/>
    </xf>
    <xf numFmtId="0" fontId="0" fillId="0" borderId="1" xfId="0" applyBorder="1"/>
    <xf numFmtId="0" fontId="7" fillId="2" borderId="1" xfId="0" applyFont="1" applyFill="1" applyBorder="1" applyAlignment="1">
      <alignment horizontal="center" vertical="center"/>
    </xf>
    <xf numFmtId="0" fontId="8" fillId="0" borderId="0" xfId="0" applyFont="1"/>
    <xf numFmtId="166" fontId="8" fillId="0" borderId="0" xfId="0" applyNumberFormat="1" applyFont="1"/>
    <xf numFmtId="0" fontId="4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opLeftCell="A41" zoomScaleNormal="100" workbookViewId="0">
      <selection sqref="A1:E1"/>
    </sheetView>
  </sheetViews>
  <sheetFormatPr defaultColWidth="8.6328125" defaultRowHeight="14.5" x14ac:dyDescent="0.35"/>
  <cols>
    <col min="1" max="1" width="42" customWidth="1"/>
    <col min="2" max="2" width="18" customWidth="1"/>
    <col min="3" max="3" width="20" customWidth="1"/>
    <col min="4" max="4" width="16" customWidth="1"/>
    <col min="5" max="5" width="18" customWidth="1"/>
  </cols>
  <sheetData>
    <row r="1" spans="1:5" ht="27.75" customHeight="1" x14ac:dyDescent="0.35">
      <c r="A1" s="19" t="s">
        <v>0</v>
      </c>
      <c r="B1" s="19"/>
      <c r="C1" s="19"/>
      <c r="D1" s="19"/>
      <c r="E1" s="19"/>
    </row>
    <row r="2" spans="1:5" ht="15.5" x14ac:dyDescent="0.35">
      <c r="A2" s="20" t="s">
        <v>1</v>
      </c>
      <c r="B2" s="20"/>
      <c r="C2" s="20"/>
      <c r="D2" s="20"/>
      <c r="E2" s="20"/>
    </row>
    <row r="3" spans="1:5" x14ac:dyDescent="0.35">
      <c r="A3" s="21" t="s">
        <v>2</v>
      </c>
      <c r="B3" s="21"/>
      <c r="C3" s="21"/>
      <c r="D3" s="21"/>
      <c r="E3" s="21"/>
    </row>
    <row r="5" spans="1:5" ht="21.75" customHeight="1" x14ac:dyDescent="0.35">
      <c r="A5" s="18" t="s">
        <v>3</v>
      </c>
      <c r="B5" s="18"/>
      <c r="C5" s="18"/>
      <c r="D5" s="18"/>
      <c r="E5" s="18"/>
    </row>
    <row r="6" spans="1:5" x14ac:dyDescent="0.35">
      <c r="A6" s="1" t="s">
        <v>4</v>
      </c>
      <c r="C6" s="2">
        <f>COUNTA('AR Delinquent Report'!A2:A536)</f>
        <v>535</v>
      </c>
    </row>
    <row r="7" spans="1:5" x14ac:dyDescent="0.35">
      <c r="A7" s="1" t="s">
        <v>5</v>
      </c>
      <c r="C7" s="3">
        <f>SUM('AR Delinquent Report'!J2:J536)</f>
        <v>1636571.1800000023</v>
      </c>
    </row>
    <row r="8" spans="1:5" x14ac:dyDescent="0.35">
      <c r="A8" s="1" t="s">
        <v>6</v>
      </c>
      <c r="C8" s="3">
        <f>AVERAGE('AR Delinquent Report'!J2:J536)</f>
        <v>3059.0115514018735</v>
      </c>
    </row>
    <row r="9" spans="1:5" x14ac:dyDescent="0.35">
      <c r="A9" s="1" t="s">
        <v>7</v>
      </c>
      <c r="C9" s="3">
        <f>MAX('AR Delinquent Report'!J2:J536)</f>
        <v>311462.28999999998</v>
      </c>
    </row>
    <row r="10" spans="1:5" x14ac:dyDescent="0.35">
      <c r="A10" s="1" t="s">
        <v>8</v>
      </c>
      <c r="C10" s="2">
        <f>COUNTIF('AR Delinquent Report'!J2:J536,"&gt;10000")</f>
        <v>29</v>
      </c>
    </row>
    <row r="11" spans="1:5" x14ac:dyDescent="0.35">
      <c r="A11" s="1" t="s">
        <v>9</v>
      </c>
      <c r="C11" s="2">
        <f>COUNTIF('AR Delinquent Report'!J2:J536,"&gt;1000")</f>
        <v>183</v>
      </c>
    </row>
    <row r="13" spans="1:5" ht="21.75" customHeight="1" x14ac:dyDescent="0.35">
      <c r="A13" s="18" t="s">
        <v>10</v>
      </c>
      <c r="B13" s="18"/>
      <c r="C13" s="18"/>
      <c r="D13" s="18"/>
      <c r="E13" s="18"/>
    </row>
    <row r="14" spans="1:5" x14ac:dyDescent="0.35">
      <c r="A14" s="4" t="s">
        <v>11</v>
      </c>
      <c r="B14" s="4" t="s">
        <v>12</v>
      </c>
      <c r="C14" s="4" t="s">
        <v>13</v>
      </c>
      <c r="D14" s="4" t="s">
        <v>14</v>
      </c>
      <c r="E14" s="4" t="s">
        <v>15</v>
      </c>
    </row>
    <row r="15" spans="1:5" x14ac:dyDescent="0.35">
      <c r="A15" s="5" t="s">
        <v>16</v>
      </c>
      <c r="B15" s="6">
        <f>SUM('AR Delinquent Report'!C2:C536)</f>
        <v>104667.02</v>
      </c>
      <c r="C15" s="7">
        <f>COUNTIF('AR Delinquent Report'!C2:C536,"&gt;0")</f>
        <v>400</v>
      </c>
      <c r="D15" s="8">
        <f t="shared" ref="D15:D21" si="0">B15/$C$7</f>
        <v>6.3955067325577528E-2</v>
      </c>
      <c r="E15" s="6">
        <f t="shared" ref="E15:E22" si="1">IF(C15&gt;0,B15/C15,0)</f>
        <v>261.66755000000001</v>
      </c>
    </row>
    <row r="16" spans="1:5" x14ac:dyDescent="0.35">
      <c r="A16" s="5" t="s">
        <v>17</v>
      </c>
      <c r="B16" s="6">
        <f>SUM('AR Delinquent Report'!D2:D536)</f>
        <v>45484.109999999993</v>
      </c>
      <c r="C16" s="7">
        <f>COUNTIF('AR Delinquent Report'!D2:D536,"&gt;0")</f>
        <v>44</v>
      </c>
      <c r="D16" s="8">
        <f t="shared" si="0"/>
        <v>2.7792320038288791E-2</v>
      </c>
      <c r="E16" s="6">
        <f t="shared" si="1"/>
        <v>1033.7297727272726</v>
      </c>
    </row>
    <row r="17" spans="1:5" x14ac:dyDescent="0.35">
      <c r="A17" s="5" t="s">
        <v>18</v>
      </c>
      <c r="B17" s="6">
        <f>SUM('AR Delinquent Report'!E2:E536)</f>
        <v>885580.8600000001</v>
      </c>
      <c r="C17" s="7">
        <f>COUNTIF('AR Delinquent Report'!E2:E536,"&gt;0")</f>
        <v>378</v>
      </c>
      <c r="D17" s="8">
        <f t="shared" si="0"/>
        <v>0.54111967192285448</v>
      </c>
      <c r="E17" s="6">
        <f t="shared" si="1"/>
        <v>2342.8065079365083</v>
      </c>
    </row>
    <row r="18" spans="1:5" x14ac:dyDescent="0.35">
      <c r="A18" s="5" t="s">
        <v>19</v>
      </c>
      <c r="B18" s="6">
        <f>SUM('AR Delinquent Report'!F2:F536)</f>
        <v>21988.959999999995</v>
      </c>
      <c r="C18" s="7">
        <f>COUNTIF('AR Delinquent Report'!F2:F536,"&gt;0")</f>
        <v>59</v>
      </c>
      <c r="D18" s="8">
        <f t="shared" si="0"/>
        <v>1.3435993660843987E-2</v>
      </c>
      <c r="E18" s="6">
        <f t="shared" si="1"/>
        <v>372.69423728813553</v>
      </c>
    </row>
    <row r="19" spans="1:5" x14ac:dyDescent="0.35">
      <c r="A19" s="5" t="s">
        <v>20</v>
      </c>
      <c r="B19" s="6">
        <f>SUM('AR Delinquent Report'!G2:G536)</f>
        <v>34769.770000000011</v>
      </c>
      <c r="C19" s="7">
        <f>COUNTIF('AR Delinquent Report'!G2:G536,"&gt;0")</f>
        <v>69</v>
      </c>
      <c r="D19" s="8">
        <f t="shared" si="0"/>
        <v>2.1245498164033393E-2</v>
      </c>
      <c r="E19" s="6">
        <f t="shared" si="1"/>
        <v>503.90971014492771</v>
      </c>
    </row>
    <row r="20" spans="1:5" x14ac:dyDescent="0.35">
      <c r="A20" s="5" t="s">
        <v>21</v>
      </c>
      <c r="B20" s="6">
        <f>SUM('AR Delinquent Report'!H2:H536)</f>
        <v>162022.40000000008</v>
      </c>
      <c r="C20" s="7">
        <f>COUNTIF('AR Delinquent Report'!H2:H536,"&gt;0")</f>
        <v>59</v>
      </c>
      <c r="D20" s="8">
        <f t="shared" si="0"/>
        <v>9.9001132355269666E-2</v>
      </c>
      <c r="E20" s="6">
        <f t="shared" si="1"/>
        <v>2746.1423728813575</v>
      </c>
    </row>
    <row r="21" spans="1:5" x14ac:dyDescent="0.35">
      <c r="A21" s="5" t="s">
        <v>22</v>
      </c>
      <c r="B21" s="6">
        <f>SUM('AR Delinquent Report'!I2:I536)</f>
        <v>382058.06000000006</v>
      </c>
      <c r="C21" s="7">
        <f>COUNTIF('AR Delinquent Report'!I2:I536,"&gt;0")</f>
        <v>192</v>
      </c>
      <c r="D21" s="8">
        <f t="shared" si="0"/>
        <v>0.23345031653313089</v>
      </c>
      <c r="E21" s="6">
        <f t="shared" si="1"/>
        <v>1989.885729166667</v>
      </c>
    </row>
    <row r="22" spans="1:5" x14ac:dyDescent="0.35">
      <c r="A22" s="9" t="s">
        <v>23</v>
      </c>
      <c r="B22" s="10">
        <f>SUM(B15:B21)</f>
        <v>1636571.1800000004</v>
      </c>
      <c r="C22" s="11">
        <f>C6</f>
        <v>535</v>
      </c>
      <c r="D22" s="12">
        <f>SUM(D15:D21)</f>
        <v>0.99999999999999878</v>
      </c>
      <c r="E22" s="10">
        <f t="shared" si="1"/>
        <v>3059.0115514018698</v>
      </c>
    </row>
    <row r="24" spans="1:5" ht="21.75" customHeight="1" x14ac:dyDescent="0.35">
      <c r="A24" s="18" t="s">
        <v>24</v>
      </c>
      <c r="B24" s="18"/>
      <c r="C24" s="18"/>
      <c r="D24" s="18"/>
      <c r="E24" s="18"/>
    </row>
    <row r="25" spans="1:5" x14ac:dyDescent="0.35">
      <c r="A25" s="4" t="s">
        <v>25</v>
      </c>
      <c r="B25" s="4" t="s">
        <v>26</v>
      </c>
      <c r="C25" s="4" t="s">
        <v>27</v>
      </c>
      <c r="D25" s="4" t="s">
        <v>28</v>
      </c>
      <c r="E25" s="4" t="s">
        <v>29</v>
      </c>
    </row>
    <row r="26" spans="1:5" x14ac:dyDescent="0.35">
      <c r="A26" s="5" t="s">
        <v>30</v>
      </c>
      <c r="B26" s="7">
        <f>COUNTIF('AR Delinquent Report'!B2:B536,"Attny")</f>
        <v>63</v>
      </c>
      <c r="C26" s="6">
        <f>SUMIF('AR Delinquent Report'!B2:B536,"Attny",'AR Delinquent Report'!J2:J536)</f>
        <v>718096.46999999986</v>
      </c>
      <c r="D26" s="8">
        <f t="shared" ref="D26:D36" si="2">IF($C$7&gt;0,C26/$C$7,0)</f>
        <v>0.43878108008720945</v>
      </c>
      <c r="E26" s="6">
        <f t="shared" ref="E26:E37" si="3">IF(B26&gt;0,C26/B26,0)</f>
        <v>11398.356666666665</v>
      </c>
    </row>
    <row r="27" spans="1:5" x14ac:dyDescent="0.35">
      <c r="A27" s="5" t="s">
        <v>31</v>
      </c>
      <c r="B27" s="7">
        <f>COUNTIF('AR Delinquent Report'!B2:B536,"Attny Bankruptcy")</f>
        <v>1</v>
      </c>
      <c r="C27" s="6">
        <f>SUMIF('AR Delinquent Report'!B2:B536,"Attny Bankruptcy",'AR Delinquent Report'!J2:J536)</f>
        <v>759.67</v>
      </c>
      <c r="D27" s="8">
        <f t="shared" si="2"/>
        <v>4.6418390430167473E-4</v>
      </c>
      <c r="E27" s="6">
        <f t="shared" si="3"/>
        <v>759.67</v>
      </c>
    </row>
    <row r="28" spans="1:5" x14ac:dyDescent="0.35">
      <c r="A28" s="5" t="s">
        <v>32</v>
      </c>
      <c r="B28" s="7">
        <f>COUNTIF('AR Delinquent Report'!B2:B536,"Bankruptcy")</f>
        <v>1</v>
      </c>
      <c r="C28" s="6">
        <f>SUMIF('AR Delinquent Report'!B2:B536,"Bankruptcy",'AR Delinquent Report'!J2:J536)</f>
        <v>595</v>
      </c>
      <c r="D28" s="8">
        <f t="shared" si="2"/>
        <v>3.635649993543203E-4</v>
      </c>
      <c r="E28" s="6">
        <f t="shared" si="3"/>
        <v>595</v>
      </c>
    </row>
    <row r="29" spans="1:5" x14ac:dyDescent="0.35">
      <c r="A29" s="5" t="s">
        <v>33</v>
      </c>
      <c r="B29" s="7">
        <f>COUNTIF('AR Delinquent Report'!B2:B536,"Demand Lien Notice")</f>
        <v>201</v>
      </c>
      <c r="C29" s="6">
        <f>SUMIF('AR Delinquent Report'!B2:B536,"Demand Lien Notice",'AR Delinquent Report'!J2:J536)</f>
        <v>617349.29000000015</v>
      </c>
      <c r="D29" s="8">
        <f t="shared" si="2"/>
        <v>0.37722116675670614</v>
      </c>
      <c r="E29" s="6">
        <f t="shared" si="3"/>
        <v>3071.3895024875628</v>
      </c>
    </row>
    <row r="30" spans="1:5" x14ac:dyDescent="0.35">
      <c r="A30" s="5" t="s">
        <v>34</v>
      </c>
      <c r="B30" s="7">
        <f>COUNTIF('AR Delinquent Report'!B2:B536,"Initial Late Letter")</f>
        <v>7</v>
      </c>
      <c r="C30" s="6">
        <f>SUMIF('AR Delinquent Report'!B2:B536,"Initial Late Letter",'AR Delinquent Report'!J2:J536)</f>
        <v>57359.960000000006</v>
      </c>
      <c r="D30" s="8">
        <f t="shared" si="2"/>
        <v>3.5048863563636706E-2</v>
      </c>
      <c r="E30" s="6">
        <f t="shared" si="3"/>
        <v>8194.2800000000007</v>
      </c>
    </row>
    <row r="31" spans="1:5" x14ac:dyDescent="0.35">
      <c r="A31" s="5" t="s">
        <v>35</v>
      </c>
      <c r="B31" s="7">
        <f>COUNTIF('AR Delinquent Report'!B2:B536,"Payment Plan")</f>
        <v>6</v>
      </c>
      <c r="C31" s="6">
        <f>SUMIF('AR Delinquent Report'!B2:B536,"Payment Plan",'AR Delinquent Report'!J2:J536)</f>
        <v>4006.27</v>
      </c>
      <c r="D31" s="8">
        <f t="shared" si="2"/>
        <v>2.4479656301903069E-3</v>
      </c>
      <c r="E31" s="6">
        <f t="shared" si="3"/>
        <v>667.7116666666667</v>
      </c>
    </row>
    <row r="32" spans="1:5" x14ac:dyDescent="0.35">
      <c r="A32" s="5" t="s">
        <v>36</v>
      </c>
      <c r="B32" s="7">
        <f>COUNTIF('AR Delinquent Report'!B2:B536,"Pending Board")</f>
        <v>2</v>
      </c>
      <c r="C32" s="6">
        <f>SUMIF('AR Delinquent Report'!B2:B536,"Pending Board",'AR Delinquent Report'!J2:J536)</f>
        <v>3966.17</v>
      </c>
      <c r="D32" s="8">
        <f t="shared" si="2"/>
        <v>2.4234631823346628E-3</v>
      </c>
      <c r="E32" s="6">
        <f t="shared" si="3"/>
        <v>1983.085</v>
      </c>
    </row>
    <row r="33" spans="1:5" x14ac:dyDescent="0.35">
      <c r="A33" s="5" t="s">
        <v>37</v>
      </c>
      <c r="B33" s="7">
        <f>COUNTIF('AR Delinquent Report'!B2:B536,"Pre-Bankruptcy")</f>
        <v>1</v>
      </c>
      <c r="C33" s="6">
        <f>SUMIF('AR Delinquent Report'!B2:B536,"Pre-Bankruptcy",'AR Delinquent Report'!J2:J536)</f>
        <v>916.95</v>
      </c>
      <c r="D33" s="8">
        <f t="shared" si="2"/>
        <v>5.6028727085368738E-4</v>
      </c>
      <c r="E33" s="6">
        <f t="shared" si="3"/>
        <v>916.95</v>
      </c>
    </row>
    <row r="34" spans="1:5" x14ac:dyDescent="0.35">
      <c r="A34" s="5" t="s">
        <v>38</v>
      </c>
      <c r="B34" s="7">
        <f>COUNTIF('AR Delinquent Report'!B2:B536,"Pre-Bankruptcy Attny")</f>
        <v>2</v>
      </c>
      <c r="C34" s="6">
        <f>SUMIF('AR Delinquent Report'!B2:B536,"Pre-Bankruptcy Attny",'AR Delinquent Report'!J2:J536)</f>
        <v>25103.31</v>
      </c>
      <c r="D34" s="8">
        <f t="shared" si="2"/>
        <v>1.5338966191497987E-2</v>
      </c>
      <c r="E34" s="6">
        <f t="shared" si="3"/>
        <v>12551.655000000001</v>
      </c>
    </row>
    <row r="35" spans="1:5" x14ac:dyDescent="0.35">
      <c r="A35" s="5" t="s">
        <v>39</v>
      </c>
      <c r="B35" s="7">
        <f>COUNTIF('AR Delinquent Report'!B2:B536,"Pre-Bankruptcy Bankruptcy")</f>
        <v>1</v>
      </c>
      <c r="C35" s="6">
        <f>SUMIF('AR Delinquent Report'!B2:B536,"Pre-Bankruptcy Bankruptcy",'AR Delinquent Report'!J2:J536)</f>
        <v>3536.56</v>
      </c>
      <c r="D35" s="8">
        <f t="shared" si="2"/>
        <v>2.1609570321285965E-3</v>
      </c>
      <c r="E35" s="6">
        <f t="shared" si="3"/>
        <v>3536.56</v>
      </c>
    </row>
    <row r="36" spans="1:5" x14ac:dyDescent="0.35">
      <c r="A36" s="5" t="s">
        <v>40</v>
      </c>
      <c r="B36" s="7">
        <f>COUNTIF('AR Delinquent Report'!B2:B536,"")</f>
        <v>250</v>
      </c>
      <c r="C36" s="6">
        <f>SUMIF('AR Delinquent Report'!B2:B536,"",'AR Delinquent Report'!J2:J536)</f>
        <v>204881.53</v>
      </c>
      <c r="D36" s="8">
        <f t="shared" si="2"/>
        <v>0.12518950138178514</v>
      </c>
      <c r="E36" s="6">
        <f t="shared" si="3"/>
        <v>819.52611999999999</v>
      </c>
    </row>
    <row r="37" spans="1:5" x14ac:dyDescent="0.35">
      <c r="A37" s="9" t="s">
        <v>23</v>
      </c>
      <c r="B37" s="11">
        <f>SUM(B26:B36)</f>
        <v>535</v>
      </c>
      <c r="C37" s="10">
        <f>SUM(C26:C36)</f>
        <v>1636571.1800000002</v>
      </c>
      <c r="D37" s="12">
        <f>SUM(D26:D36)</f>
        <v>0.99999999999999867</v>
      </c>
      <c r="E37" s="10">
        <f t="shared" si="3"/>
        <v>3059.0115514018694</v>
      </c>
    </row>
    <row r="39" spans="1:5" ht="21.75" customHeight="1" x14ac:dyDescent="0.35">
      <c r="A39" s="18" t="s">
        <v>41</v>
      </c>
      <c r="B39" s="18"/>
      <c r="C39" s="18"/>
      <c r="D39" s="18"/>
      <c r="E39" s="18"/>
    </row>
    <row r="40" spans="1:5" x14ac:dyDescent="0.35">
      <c r="A40" s="4" t="s">
        <v>42</v>
      </c>
      <c r="B40" s="4" t="s">
        <v>43</v>
      </c>
      <c r="C40" s="4" t="s">
        <v>25</v>
      </c>
      <c r="D40" s="4" t="s">
        <v>44</v>
      </c>
    </row>
    <row r="41" spans="1:5" x14ac:dyDescent="0.35">
      <c r="A41" s="13">
        <v>1</v>
      </c>
      <c r="B41" s="7">
        <f>INDEX('AR Delinquent Report'!A2:A536,MATCH(LARGE('AR Delinquent Report'!J2:J536,1),'AR Delinquent Report'!J2:J536,0))</f>
        <v>851983</v>
      </c>
      <c r="C41" s="14" t="str">
        <f>INDEX('AR Delinquent Report'!B2:B536,MATCH(LARGE('AR Delinquent Report'!J2:J536,1),'AR Delinquent Report'!J2:J536,0))</f>
        <v>Attny</v>
      </c>
      <c r="D41" s="6">
        <f>LARGE('AR Delinquent Report'!J2:J536,1)</f>
        <v>311462.28999999998</v>
      </c>
    </row>
    <row r="42" spans="1:5" x14ac:dyDescent="0.35">
      <c r="A42" s="13">
        <v>2</v>
      </c>
      <c r="B42" s="7">
        <f>INDEX('AR Delinquent Report'!A2:A536,MATCH(LARGE('AR Delinquent Report'!J2:J536,2),'AR Delinquent Report'!J2:J536,0))</f>
        <v>489515</v>
      </c>
      <c r="C42" s="14" t="str">
        <f>INDEX('AR Delinquent Report'!B2:B536,MATCH(LARGE('AR Delinquent Report'!J2:J536,2),'AR Delinquent Report'!J2:J536,0))</f>
        <v>Demand Lien Notice</v>
      </c>
      <c r="D42" s="6">
        <f>LARGE('AR Delinquent Report'!J2:J536,2)</f>
        <v>118512.5</v>
      </c>
    </row>
    <row r="43" spans="1:5" x14ac:dyDescent="0.35">
      <c r="A43" s="13">
        <v>3</v>
      </c>
      <c r="B43" s="7">
        <f>INDEX('AR Delinquent Report'!A2:A536,MATCH(LARGE('AR Delinquent Report'!J2:J536,3),'AR Delinquent Report'!J2:J536,0))</f>
        <v>474628</v>
      </c>
      <c r="C43" s="14" t="str">
        <f>INDEX('AR Delinquent Report'!B2:B536,MATCH(LARGE('AR Delinquent Report'!J2:J536,3),'AR Delinquent Report'!J2:J536,0))</f>
        <v>Demand Lien Notice</v>
      </c>
      <c r="D43" s="6">
        <f>LARGE('AR Delinquent Report'!J2:J536,3)</f>
        <v>79328.75</v>
      </c>
    </row>
    <row r="44" spans="1:5" x14ac:dyDescent="0.35">
      <c r="A44" s="13">
        <v>4</v>
      </c>
      <c r="B44" s="7">
        <f>INDEX('AR Delinquent Report'!A2:A536,MATCH(LARGE('AR Delinquent Report'!J2:J536,4),'AR Delinquent Report'!J2:J536,0))</f>
        <v>866536</v>
      </c>
      <c r="C44" s="14" t="str">
        <f>INDEX('AR Delinquent Report'!B2:B536,MATCH(LARGE('AR Delinquent Report'!J2:J536,4),'AR Delinquent Report'!J2:J536,0))</f>
        <v>Demand Lien Notice</v>
      </c>
      <c r="D44" s="6">
        <f>LARGE('AR Delinquent Report'!J2:J536,4)</f>
        <v>65411.73</v>
      </c>
    </row>
    <row r="45" spans="1:5" x14ac:dyDescent="0.35">
      <c r="A45" s="13">
        <v>5</v>
      </c>
      <c r="B45" s="7">
        <f>INDEX('AR Delinquent Report'!A2:A536,MATCH(LARGE('AR Delinquent Report'!J2:J536,5),'AR Delinquent Report'!J2:J536,0))</f>
        <v>474633</v>
      </c>
      <c r="C45" s="14" t="str">
        <f>INDEX('AR Delinquent Report'!B2:B536,MATCH(LARGE('AR Delinquent Report'!J2:J536,5),'AR Delinquent Report'!J2:J536,0))</f>
        <v>Initial Late Letter</v>
      </c>
      <c r="D45" s="6">
        <f>LARGE('AR Delinquent Report'!J2:J536,5)</f>
        <v>53560</v>
      </c>
    </row>
    <row r="46" spans="1:5" x14ac:dyDescent="0.35">
      <c r="A46" s="13">
        <v>6</v>
      </c>
      <c r="B46" s="7">
        <f>INDEX('AR Delinquent Report'!A2:A536,MATCH(LARGE('AR Delinquent Report'!J2:J536,6),'AR Delinquent Report'!J2:J536,0))</f>
        <v>866525</v>
      </c>
      <c r="C46" s="14" t="str">
        <f>INDEX('AR Delinquent Report'!B2:B536,MATCH(LARGE('AR Delinquent Report'!J2:J536,6),'AR Delinquent Report'!J2:J536,0))</f>
        <v>Demand Lien Notice</v>
      </c>
      <c r="D46" s="6">
        <f>LARGE('AR Delinquent Report'!J2:J536,6)</f>
        <v>46973.75</v>
      </c>
    </row>
    <row r="47" spans="1:5" x14ac:dyDescent="0.35">
      <c r="A47" s="13">
        <v>7</v>
      </c>
      <c r="B47" s="7">
        <f>INDEX('AR Delinquent Report'!A2:A536,MATCH(LARGE('AR Delinquent Report'!J2:J536,7),'AR Delinquent Report'!J2:J536,0))</f>
        <v>474637</v>
      </c>
      <c r="C47" s="14" t="str">
        <f>INDEX('AR Delinquent Report'!B2:B536,MATCH(LARGE('AR Delinquent Report'!J2:J536,7),'AR Delinquent Report'!J2:J536,0))</f>
        <v>Demand Lien Notice</v>
      </c>
      <c r="D47" s="6">
        <f>LARGE('AR Delinquent Report'!J2:J536,7)</f>
        <v>41657.68</v>
      </c>
    </row>
    <row r="48" spans="1:5" x14ac:dyDescent="0.35">
      <c r="A48" s="13">
        <v>8</v>
      </c>
      <c r="B48" s="7">
        <f>INDEX('AR Delinquent Report'!A2:A536,MATCH(LARGE('AR Delinquent Report'!J2:J536,8),'AR Delinquent Report'!J2:J536,0))</f>
        <v>475630</v>
      </c>
      <c r="C48" s="14">
        <f>INDEX('AR Delinquent Report'!B2:B536,MATCH(LARGE('AR Delinquent Report'!J2:J536,8),'AR Delinquent Report'!J2:J536,0))</f>
        <v>0</v>
      </c>
      <c r="D48" s="6">
        <f>LARGE('AR Delinquent Report'!J2:J536,8)</f>
        <v>29210.51</v>
      </c>
    </row>
    <row r="49" spans="1:5" x14ac:dyDescent="0.35">
      <c r="A49" s="13">
        <v>9</v>
      </c>
      <c r="B49" s="7">
        <f>INDEX('AR Delinquent Report'!A2:A536,MATCH(LARGE('AR Delinquent Report'!J2:J536,9),'AR Delinquent Report'!J2:J536,0))</f>
        <v>474631</v>
      </c>
      <c r="C49" s="14" t="str">
        <f>INDEX('AR Delinquent Report'!B2:B536,MATCH(LARGE('AR Delinquent Report'!J2:J536,9),'AR Delinquent Report'!J2:J536,0))</f>
        <v>Demand Lien Notice</v>
      </c>
      <c r="D49" s="6">
        <f>LARGE('AR Delinquent Report'!J2:J536,9)</f>
        <v>26476.25</v>
      </c>
    </row>
    <row r="50" spans="1:5" x14ac:dyDescent="0.35">
      <c r="A50" s="13">
        <v>10</v>
      </c>
      <c r="B50" s="7">
        <f>INDEX('AR Delinquent Report'!A2:A536,MATCH(LARGE('AR Delinquent Report'!J2:J536,10),'AR Delinquent Report'!J2:J536,0))</f>
        <v>475816</v>
      </c>
      <c r="C50" s="14" t="str">
        <f>INDEX('AR Delinquent Report'!B2:B536,MATCH(LARGE('AR Delinquent Report'!J2:J536,10),'AR Delinquent Report'!J2:J536,0))</f>
        <v>Attny</v>
      </c>
      <c r="D50" s="6">
        <f>LARGE('AR Delinquent Report'!J2:J536,10)</f>
        <v>24378.07</v>
      </c>
    </row>
    <row r="52" spans="1:5" ht="21.75" customHeight="1" x14ac:dyDescent="0.35">
      <c r="A52" s="18" t="s">
        <v>45</v>
      </c>
      <c r="B52" s="18"/>
      <c r="C52" s="18"/>
      <c r="D52" s="18"/>
      <c r="E52" s="18"/>
    </row>
    <row r="53" spans="1:5" x14ac:dyDescent="0.35">
      <c r="A53" s="4" t="s">
        <v>42</v>
      </c>
      <c r="B53" s="4" t="s">
        <v>43</v>
      </c>
      <c r="C53" s="4" t="s">
        <v>25</v>
      </c>
      <c r="D53" s="4" t="s">
        <v>22</v>
      </c>
    </row>
    <row r="54" spans="1:5" x14ac:dyDescent="0.35">
      <c r="A54" s="13">
        <v>1</v>
      </c>
      <c r="B54" s="7">
        <f>INDEX('AR Delinquent Report'!A2:A536,MATCH(LARGE('AR Delinquent Report'!I2:I536,1),'AR Delinquent Report'!I2:I536,0))</f>
        <v>475630</v>
      </c>
      <c r="C54" s="14">
        <f>INDEX('AR Delinquent Report'!B2:B536,MATCH(LARGE('AR Delinquent Report'!I2:I536,1),'AR Delinquent Report'!I2:I536,0))</f>
        <v>0</v>
      </c>
      <c r="D54" s="6">
        <f>LARGE('AR Delinquent Report'!I2:I536,1)</f>
        <v>18249.009999999998</v>
      </c>
    </row>
    <row r="55" spans="1:5" x14ac:dyDescent="0.35">
      <c r="A55" s="13">
        <v>2</v>
      </c>
      <c r="B55" s="7">
        <f>INDEX('AR Delinquent Report'!A2:A536,MATCH(LARGE('AR Delinquent Report'!I2:I536,2),'AR Delinquent Report'!I2:I536,0))</f>
        <v>475151</v>
      </c>
      <c r="C55" s="14" t="str">
        <f>INDEX('AR Delinquent Report'!B2:B536,MATCH(LARGE('AR Delinquent Report'!I2:I536,2),'AR Delinquent Report'!I2:I536,0))</f>
        <v>Demand Lien Notice</v>
      </c>
      <c r="D55" s="6">
        <f>LARGE('AR Delinquent Report'!I2:I536,2)</f>
        <v>17907.07</v>
      </c>
    </row>
    <row r="56" spans="1:5" x14ac:dyDescent="0.35">
      <c r="A56" s="13">
        <v>3</v>
      </c>
      <c r="B56" s="7">
        <f>INDEX('AR Delinquent Report'!A2:A536,MATCH(LARGE('AR Delinquent Report'!I2:I536,3),'AR Delinquent Report'!I2:I536,0))</f>
        <v>475726</v>
      </c>
      <c r="C56" s="14" t="str">
        <f>INDEX('AR Delinquent Report'!B2:B536,MATCH(LARGE('AR Delinquent Report'!I2:I536,3),'AR Delinquent Report'!I2:I536,0))</f>
        <v>Pre-Bankruptcy Attny</v>
      </c>
      <c r="D56" s="6">
        <f>LARGE('AR Delinquent Report'!I2:I536,3)</f>
        <v>16897.54</v>
      </c>
    </row>
    <row r="57" spans="1:5" x14ac:dyDescent="0.35">
      <c r="A57" s="13">
        <v>4</v>
      </c>
      <c r="B57" s="7">
        <f>INDEX('AR Delinquent Report'!A2:A536,MATCH(LARGE('AR Delinquent Report'!I2:I536,4),'AR Delinquent Report'!I2:I536,0))</f>
        <v>477923</v>
      </c>
      <c r="C57" s="14">
        <f>INDEX('AR Delinquent Report'!B2:B536,MATCH(LARGE('AR Delinquent Report'!I2:I536,4),'AR Delinquent Report'!I2:I536,0))</f>
        <v>0</v>
      </c>
      <c r="D57" s="6">
        <f>LARGE('AR Delinquent Report'!I2:I536,4)</f>
        <v>15136.52</v>
      </c>
    </row>
    <row r="58" spans="1:5" x14ac:dyDescent="0.35">
      <c r="A58" s="13">
        <v>5</v>
      </c>
      <c r="B58" s="7">
        <f>INDEX('AR Delinquent Report'!A2:A536,MATCH(LARGE('AR Delinquent Report'!I2:I536,5),'AR Delinquent Report'!I2:I536,0))</f>
        <v>478678</v>
      </c>
      <c r="C58" s="14" t="str">
        <f>INDEX('AR Delinquent Report'!B2:B536,MATCH(LARGE('AR Delinquent Report'!I2:I536,5),'AR Delinquent Report'!I2:I536,0))</f>
        <v>Attny</v>
      </c>
      <c r="D58" s="6">
        <f>LARGE('AR Delinquent Report'!I2:I536,5)</f>
        <v>13435.99</v>
      </c>
    </row>
    <row r="59" spans="1:5" x14ac:dyDescent="0.35">
      <c r="A59" s="13">
        <v>6</v>
      </c>
      <c r="B59" s="7">
        <f>INDEX('AR Delinquent Report'!A2:A536,MATCH(LARGE('AR Delinquent Report'!I2:I536,6),'AR Delinquent Report'!I2:I536,0))</f>
        <v>474495</v>
      </c>
      <c r="C59" s="14" t="str">
        <f>INDEX('AR Delinquent Report'!B2:B536,MATCH(LARGE('AR Delinquent Report'!I2:I536,6),'AR Delinquent Report'!I2:I536,0))</f>
        <v>Attny</v>
      </c>
      <c r="D59" s="6">
        <f>LARGE('AR Delinquent Report'!I2:I536,6)</f>
        <v>12456.71</v>
      </c>
    </row>
    <row r="60" spans="1:5" x14ac:dyDescent="0.35">
      <c r="A60" s="13">
        <v>7</v>
      </c>
      <c r="B60" s="7">
        <f>INDEX('AR Delinquent Report'!A2:A536,MATCH(LARGE('AR Delinquent Report'!I2:I536,7),'AR Delinquent Report'!I2:I536,0))</f>
        <v>475816</v>
      </c>
      <c r="C60" s="14" t="str">
        <f>INDEX('AR Delinquent Report'!B2:B536,MATCH(LARGE('AR Delinquent Report'!I2:I536,7),'AR Delinquent Report'!I2:I536,0))</f>
        <v>Attny</v>
      </c>
      <c r="D60" s="6">
        <f>LARGE('AR Delinquent Report'!I2:I536,7)</f>
        <v>11937.07</v>
      </c>
    </row>
    <row r="61" spans="1:5" x14ac:dyDescent="0.35">
      <c r="A61" s="13">
        <v>8</v>
      </c>
      <c r="B61" s="7">
        <f>INDEX('AR Delinquent Report'!A2:A536,MATCH(LARGE('AR Delinquent Report'!I2:I536,8),'AR Delinquent Report'!I2:I536,0))</f>
        <v>475248</v>
      </c>
      <c r="C61" s="14" t="str">
        <f>INDEX('AR Delinquent Report'!B2:B536,MATCH(LARGE('AR Delinquent Report'!I2:I536,8),'AR Delinquent Report'!I2:I536,0))</f>
        <v>Attny</v>
      </c>
      <c r="D61" s="6">
        <f>LARGE('AR Delinquent Report'!I2:I536,8)</f>
        <v>10920.56</v>
      </c>
    </row>
    <row r="62" spans="1:5" x14ac:dyDescent="0.35">
      <c r="A62" s="13">
        <v>9</v>
      </c>
      <c r="B62" s="7">
        <f>INDEX('AR Delinquent Report'!A2:A536,MATCH(LARGE('AR Delinquent Report'!I2:I536,9),'AR Delinquent Report'!I2:I536,0))</f>
        <v>477403</v>
      </c>
      <c r="C62" s="14" t="str">
        <f>INDEX('AR Delinquent Report'!B2:B536,MATCH(LARGE('AR Delinquent Report'!I2:I536,9),'AR Delinquent Report'!I2:I536,0))</f>
        <v>Attny</v>
      </c>
      <c r="D62" s="6">
        <f>LARGE('AR Delinquent Report'!I2:I536,9)</f>
        <v>10501.11</v>
      </c>
    </row>
    <row r="63" spans="1:5" x14ac:dyDescent="0.35">
      <c r="A63" s="13">
        <v>10</v>
      </c>
      <c r="B63" s="7">
        <f>INDEX('AR Delinquent Report'!A2:A536,MATCH(LARGE('AR Delinquent Report'!I2:I536,10),'AR Delinquent Report'!I2:I536,0))</f>
        <v>477413</v>
      </c>
      <c r="C63" s="14" t="str">
        <f>INDEX('AR Delinquent Report'!B2:B536,MATCH(LARGE('AR Delinquent Report'!I2:I536,10),'AR Delinquent Report'!I2:I536,0))</f>
        <v>Attny</v>
      </c>
      <c r="D63" s="6">
        <f>LARGE('AR Delinquent Report'!I2:I536,10)</f>
        <v>9547.64</v>
      </c>
    </row>
  </sheetData>
  <mergeCells count="8">
    <mergeCell ref="A24:E24"/>
    <mergeCell ref="A39:E39"/>
    <mergeCell ref="A52:E52"/>
    <mergeCell ref="A1:E1"/>
    <mergeCell ref="A2:E2"/>
    <mergeCell ref="A3:E3"/>
    <mergeCell ref="A5:E5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6"/>
  <sheetViews>
    <sheetView tabSelected="1" topLeftCell="B1" zoomScaleNormal="100" workbookViewId="0">
      <pane ySplit="1" topLeftCell="A21" activePane="bottomLeft" state="frozen"/>
      <selection pane="bottomLeft" activeCell="J390" sqref="J390"/>
    </sheetView>
  </sheetViews>
  <sheetFormatPr defaultColWidth="8.6328125" defaultRowHeight="14.5" x14ac:dyDescent="0.35"/>
  <cols>
    <col min="1" max="1" width="10" customWidth="1"/>
    <col min="2" max="2" width="26" customWidth="1"/>
    <col min="3" max="8" width="12" customWidth="1"/>
    <col min="9" max="10" width="13" customWidth="1"/>
    <col min="11" max="11" width="12" customWidth="1"/>
  </cols>
  <sheetData>
    <row r="1" spans="1:11" x14ac:dyDescent="0.35">
      <c r="A1" s="15" t="s">
        <v>43</v>
      </c>
      <c r="B1" s="15" t="s">
        <v>46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44</v>
      </c>
      <c r="K1" s="15" t="s">
        <v>47</v>
      </c>
    </row>
    <row r="2" spans="1:11" x14ac:dyDescent="0.35">
      <c r="A2" s="16">
        <v>851983</v>
      </c>
      <c r="B2" s="16" t="s">
        <v>30</v>
      </c>
      <c r="C2" s="17">
        <v>0</v>
      </c>
      <c r="D2" s="17">
        <v>0</v>
      </c>
      <c r="E2" s="17">
        <v>142223.9</v>
      </c>
      <c r="F2" s="17">
        <v>2864.12</v>
      </c>
      <c r="G2" s="17">
        <v>7999.27</v>
      </c>
      <c r="H2" s="17">
        <v>158375</v>
      </c>
      <c r="I2" s="17">
        <v>0</v>
      </c>
      <c r="J2" s="17">
        <v>311462.28999999998</v>
      </c>
      <c r="K2" s="16" t="s">
        <v>48</v>
      </c>
    </row>
    <row r="3" spans="1:11" x14ac:dyDescent="0.35">
      <c r="A3" s="16">
        <v>489515</v>
      </c>
      <c r="B3" s="16" t="s">
        <v>33</v>
      </c>
      <c r="C3" s="17">
        <v>1512.5</v>
      </c>
      <c r="D3" s="17">
        <v>0</v>
      </c>
      <c r="E3" s="17">
        <v>117000</v>
      </c>
      <c r="F3" s="17">
        <v>0</v>
      </c>
      <c r="G3" s="17">
        <v>0</v>
      </c>
      <c r="H3" s="17">
        <v>0</v>
      </c>
      <c r="I3" s="17">
        <v>0</v>
      </c>
      <c r="J3" s="17">
        <v>118512.5</v>
      </c>
      <c r="K3" s="16" t="s">
        <v>48</v>
      </c>
    </row>
    <row r="4" spans="1:11" x14ac:dyDescent="0.35">
      <c r="A4" s="16">
        <v>474628</v>
      </c>
      <c r="B4" s="16" t="s">
        <v>33</v>
      </c>
      <c r="C4" s="17">
        <v>1028.75</v>
      </c>
      <c r="D4" s="17">
        <v>0</v>
      </c>
      <c r="E4" s="17">
        <v>78300</v>
      </c>
      <c r="F4" s="17">
        <v>0</v>
      </c>
      <c r="G4" s="17">
        <v>0</v>
      </c>
      <c r="H4" s="17">
        <v>0</v>
      </c>
      <c r="I4" s="17">
        <v>0</v>
      </c>
      <c r="J4" s="17">
        <v>79328.75</v>
      </c>
      <c r="K4" s="16" t="s">
        <v>48</v>
      </c>
    </row>
    <row r="5" spans="1:11" x14ac:dyDescent="0.35">
      <c r="A5" s="16">
        <v>866536</v>
      </c>
      <c r="B5" s="16" t="s">
        <v>33</v>
      </c>
      <c r="C5" s="17">
        <v>851.38</v>
      </c>
      <c r="D5" s="17">
        <v>0</v>
      </c>
      <c r="E5" s="17">
        <v>64560.35</v>
      </c>
      <c r="F5" s="17">
        <v>0</v>
      </c>
      <c r="G5" s="17">
        <v>0</v>
      </c>
      <c r="H5" s="17">
        <v>0</v>
      </c>
      <c r="I5" s="17">
        <v>0</v>
      </c>
      <c r="J5" s="17">
        <v>65411.73</v>
      </c>
      <c r="K5" s="16" t="s">
        <v>48</v>
      </c>
    </row>
    <row r="6" spans="1:11" x14ac:dyDescent="0.35">
      <c r="A6" s="16">
        <v>474633</v>
      </c>
      <c r="B6" s="16" t="s">
        <v>34</v>
      </c>
      <c r="C6" s="17">
        <v>0</v>
      </c>
      <c r="D6" s="17">
        <v>0</v>
      </c>
      <c r="E6" s="17">
        <v>50400</v>
      </c>
      <c r="F6" s="17">
        <v>0</v>
      </c>
      <c r="G6" s="17">
        <v>500</v>
      </c>
      <c r="H6" s="17">
        <v>0</v>
      </c>
      <c r="I6" s="17">
        <v>2660</v>
      </c>
      <c r="J6" s="17">
        <v>53560</v>
      </c>
      <c r="K6" s="16" t="s">
        <v>48</v>
      </c>
    </row>
    <row r="7" spans="1:11" x14ac:dyDescent="0.35">
      <c r="A7" s="16">
        <v>866525</v>
      </c>
      <c r="B7" s="16" t="s">
        <v>33</v>
      </c>
      <c r="C7" s="17">
        <v>623.75</v>
      </c>
      <c r="D7" s="17">
        <v>0</v>
      </c>
      <c r="E7" s="17">
        <v>46350</v>
      </c>
      <c r="F7" s="17">
        <v>0</v>
      </c>
      <c r="G7" s="17">
        <v>0</v>
      </c>
      <c r="H7" s="17">
        <v>0</v>
      </c>
      <c r="I7" s="17">
        <v>0</v>
      </c>
      <c r="J7" s="17">
        <v>46973.75</v>
      </c>
      <c r="K7" s="16" t="s">
        <v>48</v>
      </c>
    </row>
    <row r="8" spans="1:11" x14ac:dyDescent="0.35">
      <c r="A8" s="16">
        <v>474637</v>
      </c>
      <c r="B8" s="16" t="s">
        <v>33</v>
      </c>
      <c r="C8" s="17">
        <v>563.67999999999995</v>
      </c>
      <c r="D8" s="17">
        <v>0</v>
      </c>
      <c r="E8" s="17">
        <v>41094</v>
      </c>
      <c r="F8" s="17">
        <v>0</v>
      </c>
      <c r="G8" s="17">
        <v>0</v>
      </c>
      <c r="H8" s="17">
        <v>0</v>
      </c>
      <c r="I8" s="17">
        <v>0</v>
      </c>
      <c r="J8" s="17">
        <v>41657.68</v>
      </c>
      <c r="K8" s="16" t="s">
        <v>48</v>
      </c>
    </row>
    <row r="9" spans="1:11" x14ac:dyDescent="0.35">
      <c r="A9" s="16">
        <v>475630</v>
      </c>
      <c r="B9" s="16"/>
      <c r="C9" s="17">
        <v>3012.5</v>
      </c>
      <c r="D9" s="17">
        <v>6399</v>
      </c>
      <c r="E9" s="17">
        <v>1550</v>
      </c>
      <c r="F9" s="17">
        <v>0</v>
      </c>
      <c r="G9" s="17">
        <v>0</v>
      </c>
      <c r="H9" s="17">
        <v>0</v>
      </c>
      <c r="I9" s="17">
        <v>18249.009999999998</v>
      </c>
      <c r="J9" s="17">
        <v>29210.51</v>
      </c>
      <c r="K9" s="16" t="s">
        <v>48</v>
      </c>
    </row>
    <row r="10" spans="1:11" x14ac:dyDescent="0.35">
      <c r="A10" s="16">
        <v>474631</v>
      </c>
      <c r="B10" s="16" t="s">
        <v>33</v>
      </c>
      <c r="C10" s="17">
        <v>376.25</v>
      </c>
      <c r="D10" s="17">
        <v>0</v>
      </c>
      <c r="E10" s="17">
        <v>26100</v>
      </c>
      <c r="F10" s="17">
        <v>0</v>
      </c>
      <c r="G10" s="17">
        <v>0</v>
      </c>
      <c r="H10" s="17">
        <v>0</v>
      </c>
      <c r="I10" s="17">
        <v>0</v>
      </c>
      <c r="J10" s="17">
        <v>26476.25</v>
      </c>
      <c r="K10" s="16" t="s">
        <v>48</v>
      </c>
    </row>
    <row r="11" spans="1:11" x14ac:dyDescent="0.35">
      <c r="A11" s="16">
        <v>475816</v>
      </c>
      <c r="B11" s="16" t="s">
        <v>30</v>
      </c>
      <c r="C11" s="17">
        <v>3753.64</v>
      </c>
      <c r="D11" s="17">
        <v>6100</v>
      </c>
      <c r="E11" s="17">
        <v>2376.85</v>
      </c>
      <c r="F11" s="17">
        <v>70.17</v>
      </c>
      <c r="G11" s="17">
        <v>70.17</v>
      </c>
      <c r="H11" s="17">
        <v>70.17</v>
      </c>
      <c r="I11" s="17">
        <v>11937.07</v>
      </c>
      <c r="J11" s="17">
        <v>24378.07</v>
      </c>
      <c r="K11" s="16" t="s">
        <v>48</v>
      </c>
    </row>
    <row r="12" spans="1:11" x14ac:dyDescent="0.35">
      <c r="A12" s="16">
        <v>475151</v>
      </c>
      <c r="B12" s="16" t="s">
        <v>33</v>
      </c>
      <c r="C12" s="17">
        <v>0</v>
      </c>
      <c r="D12" s="17">
        <v>25</v>
      </c>
      <c r="E12" s="17">
        <v>1164.18</v>
      </c>
      <c r="F12" s="17">
        <v>0</v>
      </c>
      <c r="G12" s="17">
        <v>92.5</v>
      </c>
      <c r="H12" s="17">
        <v>0</v>
      </c>
      <c r="I12" s="17">
        <v>17907.07</v>
      </c>
      <c r="J12" s="17">
        <v>19188.75</v>
      </c>
      <c r="K12" s="16" t="s">
        <v>48</v>
      </c>
    </row>
    <row r="13" spans="1:11" x14ac:dyDescent="0.35">
      <c r="A13" s="16">
        <v>478678</v>
      </c>
      <c r="B13" s="16" t="s">
        <v>30</v>
      </c>
      <c r="C13" s="17">
        <v>1230.75</v>
      </c>
      <c r="D13" s="17">
        <v>0</v>
      </c>
      <c r="E13" s="17">
        <v>1601.19</v>
      </c>
      <c r="F13" s="17">
        <v>136.01</v>
      </c>
      <c r="G13" s="17">
        <v>1452.53</v>
      </c>
      <c r="H13" s="17">
        <v>136.01</v>
      </c>
      <c r="I13" s="17">
        <v>13435.99</v>
      </c>
      <c r="J13" s="17">
        <v>17992.48</v>
      </c>
      <c r="K13" s="16" t="s">
        <v>48</v>
      </c>
    </row>
    <row r="14" spans="1:11" x14ac:dyDescent="0.35">
      <c r="A14" s="16">
        <v>475726</v>
      </c>
      <c r="B14" s="16" t="s">
        <v>38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16897.54</v>
      </c>
      <c r="J14" s="17">
        <v>16897.54</v>
      </c>
      <c r="K14" s="16" t="s">
        <v>48</v>
      </c>
    </row>
    <row r="15" spans="1:11" x14ac:dyDescent="0.35">
      <c r="A15" s="16">
        <v>476849</v>
      </c>
      <c r="B15" s="16" t="s">
        <v>30</v>
      </c>
      <c r="C15" s="17">
        <v>549.26</v>
      </c>
      <c r="D15" s="17">
        <v>0</v>
      </c>
      <c r="E15" s="17">
        <v>0</v>
      </c>
      <c r="F15" s="17">
        <v>14574.15</v>
      </c>
      <c r="G15" s="17">
        <v>62.5</v>
      </c>
      <c r="H15" s="17">
        <v>0</v>
      </c>
      <c r="I15" s="17">
        <v>0</v>
      </c>
      <c r="J15" s="17">
        <v>15185.91</v>
      </c>
      <c r="K15" s="16" t="s">
        <v>48</v>
      </c>
    </row>
    <row r="16" spans="1:11" x14ac:dyDescent="0.35">
      <c r="A16" s="16">
        <v>477923</v>
      </c>
      <c r="B16" s="16"/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15136.52</v>
      </c>
      <c r="J16" s="17">
        <v>15136.52</v>
      </c>
      <c r="K16" s="16" t="s">
        <v>48</v>
      </c>
    </row>
    <row r="17" spans="1:11" x14ac:dyDescent="0.35">
      <c r="A17" s="16">
        <v>474495</v>
      </c>
      <c r="B17" s="16" t="s">
        <v>30</v>
      </c>
      <c r="C17" s="17">
        <v>1178.53</v>
      </c>
      <c r="D17" s="17">
        <v>0</v>
      </c>
      <c r="E17" s="17">
        <v>1128.03</v>
      </c>
      <c r="F17" s="17">
        <v>88.45</v>
      </c>
      <c r="G17" s="17">
        <v>88.45</v>
      </c>
      <c r="H17" s="17">
        <v>88.45</v>
      </c>
      <c r="I17" s="17">
        <v>12456.71</v>
      </c>
      <c r="J17" s="17">
        <v>15028.62</v>
      </c>
      <c r="K17" s="16" t="s">
        <v>48</v>
      </c>
    </row>
    <row r="18" spans="1:11" x14ac:dyDescent="0.35">
      <c r="A18" s="16">
        <v>475248</v>
      </c>
      <c r="B18" s="16" t="s">
        <v>30</v>
      </c>
      <c r="C18" s="17">
        <v>142.19</v>
      </c>
      <c r="D18" s="17">
        <v>0</v>
      </c>
      <c r="E18" s="17">
        <v>655.29999999999995</v>
      </c>
      <c r="F18" s="17">
        <v>73.41</v>
      </c>
      <c r="G18" s="17">
        <v>2013.46</v>
      </c>
      <c r="H18" s="17">
        <v>73.41</v>
      </c>
      <c r="I18" s="17">
        <v>10920.56</v>
      </c>
      <c r="J18" s="17">
        <v>13878.33</v>
      </c>
      <c r="K18" s="16" t="s">
        <v>48</v>
      </c>
    </row>
    <row r="19" spans="1:11" x14ac:dyDescent="0.35">
      <c r="A19" s="16">
        <v>478639</v>
      </c>
      <c r="B19" s="16" t="s">
        <v>30</v>
      </c>
      <c r="C19" s="17">
        <v>1222.6400000000001</v>
      </c>
      <c r="D19" s="17">
        <v>410</v>
      </c>
      <c r="E19" s="17">
        <v>1098.93</v>
      </c>
      <c r="F19" s="17">
        <v>69.599999999999994</v>
      </c>
      <c r="G19" s="17">
        <v>674.6</v>
      </c>
      <c r="H19" s="17">
        <v>69.599999999999994</v>
      </c>
      <c r="I19" s="17">
        <v>8516.16</v>
      </c>
      <c r="J19" s="17">
        <v>12061.53</v>
      </c>
      <c r="K19" s="16" t="s">
        <v>48</v>
      </c>
    </row>
    <row r="20" spans="1:11" x14ac:dyDescent="0.35">
      <c r="A20" s="16">
        <v>477403</v>
      </c>
      <c r="B20" s="16" t="s">
        <v>30</v>
      </c>
      <c r="C20" s="17">
        <v>88.89</v>
      </c>
      <c r="D20" s="17">
        <v>0</v>
      </c>
      <c r="E20" s="17">
        <v>1058.8900000000001</v>
      </c>
      <c r="F20" s="17">
        <v>77.739999999999995</v>
      </c>
      <c r="G20" s="17">
        <v>77.739999999999995</v>
      </c>
      <c r="H20" s="17">
        <v>77.739999999999995</v>
      </c>
      <c r="I20" s="17">
        <v>10501.11</v>
      </c>
      <c r="J20" s="17">
        <v>11882.11</v>
      </c>
      <c r="K20" s="16" t="s">
        <v>48</v>
      </c>
    </row>
    <row r="21" spans="1:11" x14ac:dyDescent="0.35">
      <c r="A21" s="16">
        <v>475404</v>
      </c>
      <c r="B21" s="16" t="s">
        <v>30</v>
      </c>
      <c r="C21" s="17">
        <v>2145.21</v>
      </c>
      <c r="D21" s="17">
        <v>0</v>
      </c>
      <c r="E21" s="17">
        <v>111.46</v>
      </c>
      <c r="F21" s="17">
        <v>51.57</v>
      </c>
      <c r="G21" s="17">
        <v>861.15</v>
      </c>
      <c r="H21" s="17">
        <v>51.57</v>
      </c>
      <c r="I21" s="17">
        <v>8590.42</v>
      </c>
      <c r="J21" s="17">
        <v>11811.38</v>
      </c>
      <c r="K21" s="16" t="s">
        <v>48</v>
      </c>
    </row>
    <row r="22" spans="1:11" x14ac:dyDescent="0.35">
      <c r="A22" s="16">
        <v>476445</v>
      </c>
      <c r="B22" s="16" t="s">
        <v>30</v>
      </c>
      <c r="C22" s="17">
        <v>1286.8800000000001</v>
      </c>
      <c r="D22" s="17">
        <v>230</v>
      </c>
      <c r="E22" s="17">
        <v>904.31</v>
      </c>
      <c r="F22" s="17">
        <v>66.53</v>
      </c>
      <c r="G22" s="17">
        <v>801.62</v>
      </c>
      <c r="H22" s="17">
        <v>66.53</v>
      </c>
      <c r="I22" s="17">
        <v>8319.4599999999991</v>
      </c>
      <c r="J22" s="17">
        <v>11675.33</v>
      </c>
      <c r="K22" s="16" t="s">
        <v>48</v>
      </c>
    </row>
    <row r="23" spans="1:11" x14ac:dyDescent="0.35">
      <c r="A23" s="16">
        <v>673358</v>
      </c>
      <c r="B23" s="16" t="s">
        <v>30</v>
      </c>
      <c r="C23" s="17">
        <v>0</v>
      </c>
      <c r="D23" s="17">
        <v>233.75</v>
      </c>
      <c r="E23" s="17">
        <v>2504.9299999999998</v>
      </c>
      <c r="F23" s="17">
        <v>68.63</v>
      </c>
      <c r="G23" s="17">
        <v>640.5</v>
      </c>
      <c r="H23" s="17">
        <v>68.63</v>
      </c>
      <c r="I23" s="17">
        <v>7539.02</v>
      </c>
      <c r="J23" s="17">
        <v>11055.46</v>
      </c>
      <c r="K23" s="16" t="s">
        <v>48</v>
      </c>
    </row>
    <row r="24" spans="1:11" x14ac:dyDescent="0.35">
      <c r="A24" s="16">
        <v>476688</v>
      </c>
      <c r="B24" s="16" t="s">
        <v>30</v>
      </c>
      <c r="C24" s="17">
        <v>1243.1500000000001</v>
      </c>
      <c r="D24" s="17">
        <v>39.82</v>
      </c>
      <c r="E24" s="17">
        <v>1237.8800000000001</v>
      </c>
      <c r="F24" s="17">
        <v>53.35</v>
      </c>
      <c r="G24" s="17">
        <v>413.35</v>
      </c>
      <c r="H24" s="17">
        <v>53.35</v>
      </c>
      <c r="I24" s="17">
        <v>7960.53</v>
      </c>
      <c r="J24" s="17">
        <v>11001.43</v>
      </c>
      <c r="K24" s="16" t="s">
        <v>48</v>
      </c>
    </row>
    <row r="25" spans="1:11" x14ac:dyDescent="0.35">
      <c r="A25" s="16">
        <v>474466</v>
      </c>
      <c r="B25" s="16" t="s">
        <v>30</v>
      </c>
      <c r="C25" s="17">
        <v>354.33</v>
      </c>
      <c r="D25" s="17">
        <v>0</v>
      </c>
      <c r="E25" s="17">
        <v>748.65</v>
      </c>
      <c r="F25" s="17">
        <v>53.92</v>
      </c>
      <c r="G25" s="17">
        <v>151.41999999999999</v>
      </c>
      <c r="H25" s="17">
        <v>53.92</v>
      </c>
      <c r="I25" s="17">
        <v>9404.08</v>
      </c>
      <c r="J25" s="17">
        <v>10766.32</v>
      </c>
      <c r="K25" s="16" t="s">
        <v>48</v>
      </c>
    </row>
    <row r="26" spans="1:11" x14ac:dyDescent="0.35">
      <c r="A26" s="16">
        <v>478075</v>
      </c>
      <c r="B26" s="16"/>
      <c r="C26" s="17">
        <v>2950</v>
      </c>
      <c r="D26" s="17">
        <v>6100</v>
      </c>
      <c r="E26" s="17">
        <v>1600</v>
      </c>
      <c r="F26" s="17">
        <v>0</v>
      </c>
      <c r="G26" s="17">
        <v>0</v>
      </c>
      <c r="H26" s="17">
        <v>0</v>
      </c>
      <c r="I26" s="17">
        <v>0</v>
      </c>
      <c r="J26" s="17">
        <v>10650</v>
      </c>
      <c r="K26" s="16" t="s">
        <v>50</v>
      </c>
    </row>
    <row r="27" spans="1:11" x14ac:dyDescent="0.35">
      <c r="A27" s="16">
        <v>478431</v>
      </c>
      <c r="B27" s="16"/>
      <c r="C27" s="17">
        <v>2998.75</v>
      </c>
      <c r="D27" s="17">
        <v>6100</v>
      </c>
      <c r="E27" s="17">
        <v>1550</v>
      </c>
      <c r="F27" s="17">
        <v>0</v>
      </c>
      <c r="G27" s="17">
        <v>0</v>
      </c>
      <c r="H27" s="17">
        <v>0</v>
      </c>
      <c r="I27" s="17">
        <v>0</v>
      </c>
      <c r="J27" s="17">
        <v>10648.75</v>
      </c>
      <c r="K27" s="16" t="s">
        <v>48</v>
      </c>
    </row>
    <row r="28" spans="1:11" x14ac:dyDescent="0.35">
      <c r="A28" s="16">
        <v>477701</v>
      </c>
      <c r="B28" s="16" t="s">
        <v>30</v>
      </c>
      <c r="C28" s="17">
        <v>99.39</v>
      </c>
      <c r="D28" s="17">
        <v>0</v>
      </c>
      <c r="E28" s="17">
        <v>1322.49</v>
      </c>
      <c r="F28" s="17">
        <v>59.54</v>
      </c>
      <c r="G28" s="17">
        <v>0</v>
      </c>
      <c r="H28" s="17">
        <v>63.33</v>
      </c>
      <c r="I28" s="17">
        <v>9038.42</v>
      </c>
      <c r="J28" s="17">
        <v>10583.17</v>
      </c>
      <c r="K28" s="16" t="s">
        <v>48</v>
      </c>
    </row>
    <row r="29" spans="1:11" x14ac:dyDescent="0.35">
      <c r="A29" s="16">
        <v>477963</v>
      </c>
      <c r="B29" s="16" t="s">
        <v>33</v>
      </c>
      <c r="C29" s="17">
        <v>3075.11</v>
      </c>
      <c r="D29" s="17">
        <v>4871.75</v>
      </c>
      <c r="E29" s="17">
        <v>2558.86</v>
      </c>
      <c r="F29" s="17">
        <v>0</v>
      </c>
      <c r="G29" s="17">
        <v>0</v>
      </c>
      <c r="H29" s="17">
        <v>0</v>
      </c>
      <c r="I29" s="17">
        <v>50</v>
      </c>
      <c r="J29" s="17">
        <v>10555.72</v>
      </c>
      <c r="K29" s="16" t="s">
        <v>48</v>
      </c>
    </row>
    <row r="30" spans="1:11" x14ac:dyDescent="0.35">
      <c r="A30" s="16">
        <v>475721</v>
      </c>
      <c r="B30" s="16" t="s">
        <v>30</v>
      </c>
      <c r="C30" s="17">
        <v>1375.48</v>
      </c>
      <c r="D30" s="17">
        <v>48.75</v>
      </c>
      <c r="E30" s="17">
        <v>840.36</v>
      </c>
      <c r="F30" s="17">
        <v>65.900000000000006</v>
      </c>
      <c r="G30" s="17">
        <v>147.15</v>
      </c>
      <c r="H30" s="17">
        <v>65.900000000000006</v>
      </c>
      <c r="I30" s="17">
        <v>8002.44</v>
      </c>
      <c r="J30" s="17">
        <v>10545.98</v>
      </c>
      <c r="K30" s="16" t="s">
        <v>48</v>
      </c>
    </row>
    <row r="31" spans="1:11" x14ac:dyDescent="0.35">
      <c r="A31" s="16">
        <v>477413</v>
      </c>
      <c r="B31" s="16" t="s">
        <v>30</v>
      </c>
      <c r="C31" s="17">
        <v>0</v>
      </c>
      <c r="D31" s="17">
        <v>0</v>
      </c>
      <c r="E31" s="17">
        <v>140.43</v>
      </c>
      <c r="F31" s="17">
        <v>0</v>
      </c>
      <c r="G31" s="17">
        <v>180</v>
      </c>
      <c r="H31" s="17">
        <v>0</v>
      </c>
      <c r="I31" s="17">
        <v>9547.64</v>
      </c>
      <c r="J31" s="17">
        <v>9868.07</v>
      </c>
      <c r="K31" s="16" t="s">
        <v>48</v>
      </c>
    </row>
    <row r="32" spans="1:11" x14ac:dyDescent="0.35">
      <c r="A32" s="16">
        <v>475316</v>
      </c>
      <c r="B32" s="16" t="s">
        <v>30</v>
      </c>
      <c r="C32" s="17">
        <v>76.91</v>
      </c>
      <c r="D32" s="17">
        <v>0</v>
      </c>
      <c r="E32" s="17">
        <v>750.81</v>
      </c>
      <c r="F32" s="17">
        <v>69.349999999999994</v>
      </c>
      <c r="G32" s="17">
        <v>530.6</v>
      </c>
      <c r="H32" s="17">
        <v>69.349999999999994</v>
      </c>
      <c r="I32" s="17">
        <v>8232.15</v>
      </c>
      <c r="J32" s="17">
        <v>9729.17</v>
      </c>
      <c r="K32" s="16" t="s">
        <v>48</v>
      </c>
    </row>
    <row r="33" spans="1:11" x14ac:dyDescent="0.35">
      <c r="A33" s="16">
        <v>476452</v>
      </c>
      <c r="B33" s="16" t="s">
        <v>30</v>
      </c>
      <c r="C33" s="17">
        <v>1282.4000000000001</v>
      </c>
      <c r="D33" s="17">
        <v>0</v>
      </c>
      <c r="E33" s="17">
        <v>997.68</v>
      </c>
      <c r="F33" s="17">
        <v>68.44</v>
      </c>
      <c r="G33" s="17">
        <v>68.44</v>
      </c>
      <c r="H33" s="17">
        <v>68.44</v>
      </c>
      <c r="I33" s="17">
        <v>6445.64</v>
      </c>
      <c r="J33" s="17">
        <v>8931.0400000000009</v>
      </c>
      <c r="K33" s="16" t="s">
        <v>48</v>
      </c>
    </row>
    <row r="34" spans="1:11" x14ac:dyDescent="0.35">
      <c r="A34" s="16">
        <v>478410</v>
      </c>
      <c r="B34" s="16" t="s">
        <v>30</v>
      </c>
      <c r="C34" s="17">
        <v>2950</v>
      </c>
      <c r="D34" s="17">
        <v>3050</v>
      </c>
      <c r="E34" s="17">
        <v>2769.33</v>
      </c>
      <c r="F34" s="17">
        <v>0</v>
      </c>
      <c r="G34" s="17">
        <v>0</v>
      </c>
      <c r="H34" s="17">
        <v>0</v>
      </c>
      <c r="I34" s="17">
        <v>66.63</v>
      </c>
      <c r="J34" s="17">
        <v>8835.9599999999991</v>
      </c>
      <c r="K34" s="16" t="s">
        <v>48</v>
      </c>
    </row>
    <row r="35" spans="1:11" x14ac:dyDescent="0.35">
      <c r="A35" s="16">
        <v>579928</v>
      </c>
      <c r="B35" s="16" t="s">
        <v>33</v>
      </c>
      <c r="C35" s="17">
        <v>3056.44</v>
      </c>
      <c r="D35" s="17">
        <v>3251</v>
      </c>
      <c r="E35" s="17">
        <v>2164.89</v>
      </c>
      <c r="F35" s="17">
        <v>0</v>
      </c>
      <c r="G35" s="17">
        <v>0</v>
      </c>
      <c r="H35" s="17">
        <v>0</v>
      </c>
      <c r="I35" s="17">
        <v>0</v>
      </c>
      <c r="J35" s="17">
        <v>8472.33</v>
      </c>
      <c r="K35" s="16" t="s">
        <v>48</v>
      </c>
    </row>
    <row r="36" spans="1:11" x14ac:dyDescent="0.35">
      <c r="A36" s="16">
        <v>764438</v>
      </c>
      <c r="B36" s="16" t="s">
        <v>30</v>
      </c>
      <c r="C36" s="17">
        <v>2130.44</v>
      </c>
      <c r="D36" s="17">
        <v>106.25</v>
      </c>
      <c r="E36" s="17">
        <v>1002.82</v>
      </c>
      <c r="F36" s="17">
        <v>70.64</v>
      </c>
      <c r="G36" s="17">
        <v>1021.89</v>
      </c>
      <c r="H36" s="17">
        <v>70.64</v>
      </c>
      <c r="I36" s="17">
        <v>3936.84</v>
      </c>
      <c r="J36" s="17">
        <v>8339.52</v>
      </c>
      <c r="K36" s="16" t="s">
        <v>48</v>
      </c>
    </row>
    <row r="37" spans="1:11" x14ac:dyDescent="0.35">
      <c r="A37" s="16">
        <v>478718</v>
      </c>
      <c r="B37" s="16"/>
      <c r="C37" s="17">
        <v>0</v>
      </c>
      <c r="D37" s="17">
        <v>0</v>
      </c>
      <c r="E37" s="17">
        <v>864.98</v>
      </c>
      <c r="F37" s="17">
        <v>60.06</v>
      </c>
      <c r="G37" s="17">
        <v>60.06</v>
      </c>
      <c r="H37" s="17">
        <v>60.06</v>
      </c>
      <c r="I37" s="17">
        <v>7175.47</v>
      </c>
      <c r="J37" s="17">
        <v>8220.6299999999992</v>
      </c>
      <c r="K37" s="16" t="s">
        <v>48</v>
      </c>
    </row>
    <row r="38" spans="1:11" x14ac:dyDescent="0.35">
      <c r="A38" s="16">
        <v>474966</v>
      </c>
      <c r="B38" s="16" t="s">
        <v>38</v>
      </c>
      <c r="C38" s="17">
        <v>0</v>
      </c>
      <c r="D38" s="17">
        <v>0</v>
      </c>
      <c r="E38" s="17">
        <v>0</v>
      </c>
      <c r="F38" s="17">
        <v>0</v>
      </c>
      <c r="G38" s="17">
        <v>790.96</v>
      </c>
      <c r="H38" s="17">
        <v>30</v>
      </c>
      <c r="I38" s="17">
        <v>7384.81</v>
      </c>
      <c r="J38" s="17">
        <v>8205.77</v>
      </c>
      <c r="K38" s="16" t="s">
        <v>48</v>
      </c>
    </row>
    <row r="39" spans="1:11" x14ac:dyDescent="0.35">
      <c r="A39" s="16">
        <v>476119</v>
      </c>
      <c r="B39" s="16" t="s">
        <v>30</v>
      </c>
      <c r="C39" s="17">
        <v>491.56</v>
      </c>
      <c r="D39" s="17">
        <v>0</v>
      </c>
      <c r="E39" s="17">
        <v>894.4</v>
      </c>
      <c r="F39" s="17">
        <v>0</v>
      </c>
      <c r="G39" s="17">
        <v>1114.1400000000001</v>
      </c>
      <c r="H39" s="17">
        <v>57.93</v>
      </c>
      <c r="I39" s="17">
        <v>5559.16</v>
      </c>
      <c r="J39" s="17">
        <v>8117.19</v>
      </c>
      <c r="K39" s="16" t="s">
        <v>48</v>
      </c>
    </row>
    <row r="40" spans="1:11" x14ac:dyDescent="0.35">
      <c r="A40" s="16">
        <v>476708</v>
      </c>
      <c r="B40" s="16" t="s">
        <v>30</v>
      </c>
      <c r="C40" s="17">
        <v>951.22</v>
      </c>
      <c r="D40" s="17">
        <v>97.5</v>
      </c>
      <c r="E40" s="17">
        <v>1133.74</v>
      </c>
      <c r="F40" s="17">
        <v>73.540000000000006</v>
      </c>
      <c r="G40" s="17">
        <v>228.54</v>
      </c>
      <c r="H40" s="17">
        <v>73.540000000000006</v>
      </c>
      <c r="I40" s="17">
        <v>5225.04</v>
      </c>
      <c r="J40" s="17">
        <v>7783.12</v>
      </c>
      <c r="K40" s="16" t="s">
        <v>48</v>
      </c>
    </row>
    <row r="41" spans="1:11" x14ac:dyDescent="0.35">
      <c r="A41" s="16">
        <v>476511</v>
      </c>
      <c r="B41" s="16"/>
      <c r="C41" s="17">
        <v>2998.75</v>
      </c>
      <c r="D41" s="17">
        <v>3050</v>
      </c>
      <c r="E41" s="17">
        <v>1550</v>
      </c>
      <c r="F41" s="17">
        <v>0</v>
      </c>
      <c r="G41" s="17">
        <v>0</v>
      </c>
      <c r="H41" s="17">
        <v>0</v>
      </c>
      <c r="I41" s="17">
        <v>0</v>
      </c>
      <c r="J41" s="17">
        <v>7598.75</v>
      </c>
      <c r="K41" s="16" t="s">
        <v>48</v>
      </c>
    </row>
    <row r="42" spans="1:11" x14ac:dyDescent="0.35">
      <c r="A42" s="16">
        <v>518785</v>
      </c>
      <c r="B42" s="16" t="s">
        <v>30</v>
      </c>
      <c r="C42" s="17">
        <v>765.52</v>
      </c>
      <c r="D42" s="17">
        <v>0</v>
      </c>
      <c r="E42" s="17">
        <v>512.38</v>
      </c>
      <c r="F42" s="17">
        <v>83.01</v>
      </c>
      <c r="G42" s="17">
        <v>1557.72</v>
      </c>
      <c r="H42" s="17">
        <v>83.01</v>
      </c>
      <c r="I42" s="17">
        <v>4383.7700000000004</v>
      </c>
      <c r="J42" s="17">
        <v>7385.41</v>
      </c>
      <c r="K42" s="16" t="s">
        <v>48</v>
      </c>
    </row>
    <row r="43" spans="1:11" x14ac:dyDescent="0.35">
      <c r="A43" s="16">
        <v>478973</v>
      </c>
      <c r="B43" s="16" t="s">
        <v>30</v>
      </c>
      <c r="C43" s="17">
        <v>543.75</v>
      </c>
      <c r="D43" s="17">
        <v>180</v>
      </c>
      <c r="E43" s="17">
        <v>539.55999999999995</v>
      </c>
      <c r="F43" s="17">
        <v>0</v>
      </c>
      <c r="G43" s="17">
        <v>31.91</v>
      </c>
      <c r="H43" s="17">
        <v>0</v>
      </c>
      <c r="I43" s="17">
        <v>5853.44</v>
      </c>
      <c r="J43" s="17">
        <v>7148.66</v>
      </c>
      <c r="K43" s="16" t="s">
        <v>49</v>
      </c>
    </row>
    <row r="44" spans="1:11" x14ac:dyDescent="0.35">
      <c r="A44" s="16">
        <v>474650</v>
      </c>
      <c r="B44" s="16" t="s">
        <v>30</v>
      </c>
      <c r="C44" s="17">
        <v>66.56</v>
      </c>
      <c r="D44" s="17">
        <v>0</v>
      </c>
      <c r="E44" s="17">
        <v>611.5</v>
      </c>
      <c r="F44" s="17">
        <v>60.51</v>
      </c>
      <c r="G44" s="17">
        <v>1635.42</v>
      </c>
      <c r="H44" s="17">
        <v>60.51</v>
      </c>
      <c r="I44" s="17">
        <v>4677.54</v>
      </c>
      <c r="J44" s="17">
        <v>7112.04</v>
      </c>
      <c r="K44" s="16" t="s">
        <v>48</v>
      </c>
    </row>
    <row r="45" spans="1:11" x14ac:dyDescent="0.35">
      <c r="A45" s="16">
        <v>476614</v>
      </c>
      <c r="B45" s="16" t="s">
        <v>30</v>
      </c>
      <c r="C45" s="17">
        <v>335.79</v>
      </c>
      <c r="D45" s="17">
        <v>0</v>
      </c>
      <c r="E45" s="17">
        <v>1300.33</v>
      </c>
      <c r="F45" s="17">
        <v>74.069999999999993</v>
      </c>
      <c r="G45" s="17">
        <v>546.57000000000005</v>
      </c>
      <c r="H45" s="17">
        <v>74.069999999999993</v>
      </c>
      <c r="I45" s="17">
        <v>4752.3999999999996</v>
      </c>
      <c r="J45" s="17">
        <v>7083.23</v>
      </c>
      <c r="K45" s="16" t="s">
        <v>48</v>
      </c>
    </row>
    <row r="46" spans="1:11" x14ac:dyDescent="0.35">
      <c r="A46" s="16">
        <v>475244</v>
      </c>
      <c r="B46" s="16" t="s">
        <v>30</v>
      </c>
      <c r="C46" s="17">
        <v>1024.52</v>
      </c>
      <c r="D46" s="17">
        <v>0</v>
      </c>
      <c r="E46" s="17">
        <v>774.44</v>
      </c>
      <c r="F46" s="17">
        <v>76.86</v>
      </c>
      <c r="G46" s="17">
        <v>576.86</v>
      </c>
      <c r="H46" s="17">
        <v>76.86</v>
      </c>
      <c r="I46" s="17">
        <v>4032.17</v>
      </c>
      <c r="J46" s="17">
        <v>6561.71</v>
      </c>
      <c r="K46" s="16" t="s">
        <v>48</v>
      </c>
    </row>
    <row r="47" spans="1:11" x14ac:dyDescent="0.35">
      <c r="A47" s="16">
        <v>478933</v>
      </c>
      <c r="B47" s="16"/>
      <c r="C47" s="17">
        <v>4393.5200000000004</v>
      </c>
      <c r="D47" s="17">
        <v>185.25</v>
      </c>
      <c r="E47" s="17">
        <v>1734.55</v>
      </c>
      <c r="F47" s="17">
        <v>0</v>
      </c>
      <c r="G47" s="17">
        <v>0</v>
      </c>
      <c r="H47" s="17">
        <v>0</v>
      </c>
      <c r="I47" s="17">
        <v>0</v>
      </c>
      <c r="J47" s="17">
        <v>6313.32</v>
      </c>
      <c r="K47" s="16" t="s">
        <v>49</v>
      </c>
    </row>
    <row r="48" spans="1:11" x14ac:dyDescent="0.35">
      <c r="A48" s="16">
        <v>476123</v>
      </c>
      <c r="B48" s="16"/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6076.53</v>
      </c>
      <c r="J48" s="17">
        <v>6076.53</v>
      </c>
      <c r="K48" s="16" t="s">
        <v>48</v>
      </c>
    </row>
    <row r="49" spans="1:11" x14ac:dyDescent="0.35">
      <c r="A49" s="16">
        <v>477700</v>
      </c>
      <c r="B49" s="16" t="s">
        <v>30</v>
      </c>
      <c r="C49" s="17">
        <v>517.66</v>
      </c>
      <c r="D49" s="17">
        <v>97.5</v>
      </c>
      <c r="E49" s="17">
        <v>1108.57</v>
      </c>
      <c r="F49" s="17">
        <v>70.72</v>
      </c>
      <c r="G49" s="17">
        <v>369.47</v>
      </c>
      <c r="H49" s="17">
        <v>70.72</v>
      </c>
      <c r="I49" s="17">
        <v>3730.62</v>
      </c>
      <c r="J49" s="17">
        <v>5965.26</v>
      </c>
      <c r="K49" s="16" t="s">
        <v>48</v>
      </c>
    </row>
    <row r="50" spans="1:11" x14ac:dyDescent="0.35">
      <c r="A50" s="16">
        <v>476361</v>
      </c>
      <c r="B50" s="16" t="s">
        <v>30</v>
      </c>
      <c r="C50" s="17">
        <v>90.02</v>
      </c>
      <c r="D50" s="17">
        <v>0</v>
      </c>
      <c r="E50" s="17">
        <v>1335.3</v>
      </c>
      <c r="F50" s="17">
        <v>75.39</v>
      </c>
      <c r="G50" s="17">
        <v>319.83999999999997</v>
      </c>
      <c r="H50" s="17">
        <v>75.39</v>
      </c>
      <c r="I50" s="17">
        <v>3810.16</v>
      </c>
      <c r="J50" s="17">
        <v>5706.1</v>
      </c>
      <c r="K50" s="16" t="s">
        <v>48</v>
      </c>
    </row>
    <row r="51" spans="1:11" x14ac:dyDescent="0.35">
      <c r="A51" s="16">
        <v>478037</v>
      </c>
      <c r="B51" s="16" t="s">
        <v>30</v>
      </c>
      <c r="C51" s="17">
        <v>0</v>
      </c>
      <c r="D51" s="17">
        <v>48.75</v>
      </c>
      <c r="E51" s="17">
        <v>851.12</v>
      </c>
      <c r="F51" s="17">
        <v>0</v>
      </c>
      <c r="G51" s="17">
        <v>0</v>
      </c>
      <c r="H51" s="17">
        <v>0</v>
      </c>
      <c r="I51" s="17">
        <v>4718.8100000000004</v>
      </c>
      <c r="J51" s="17">
        <v>5618.68</v>
      </c>
      <c r="K51" s="16" t="s">
        <v>48</v>
      </c>
    </row>
    <row r="52" spans="1:11" x14ac:dyDescent="0.35">
      <c r="A52" s="16">
        <v>475840</v>
      </c>
      <c r="B52" s="16" t="s">
        <v>30</v>
      </c>
      <c r="C52" s="17">
        <v>512.17999999999995</v>
      </c>
      <c r="D52" s="17">
        <v>97.5</v>
      </c>
      <c r="E52" s="17">
        <v>981.12</v>
      </c>
      <c r="F52" s="17">
        <v>66.72</v>
      </c>
      <c r="G52" s="17">
        <v>66.72</v>
      </c>
      <c r="H52" s="17">
        <v>66.72</v>
      </c>
      <c r="I52" s="17">
        <v>3469.86</v>
      </c>
      <c r="J52" s="17">
        <v>5260.82</v>
      </c>
      <c r="K52" s="16" t="s">
        <v>48</v>
      </c>
    </row>
    <row r="53" spans="1:11" x14ac:dyDescent="0.35">
      <c r="A53" s="16">
        <v>518562</v>
      </c>
      <c r="B53" s="16" t="s">
        <v>30</v>
      </c>
      <c r="C53" s="17">
        <v>827.8</v>
      </c>
      <c r="D53" s="17">
        <v>0</v>
      </c>
      <c r="E53" s="17">
        <v>1095.99</v>
      </c>
      <c r="F53" s="17">
        <v>68.459999999999994</v>
      </c>
      <c r="G53" s="17">
        <v>588.96</v>
      </c>
      <c r="H53" s="17">
        <v>68.459999999999994</v>
      </c>
      <c r="I53" s="17">
        <v>2583.04</v>
      </c>
      <c r="J53" s="17">
        <v>5232.71</v>
      </c>
      <c r="K53" s="16" t="s">
        <v>48</v>
      </c>
    </row>
    <row r="54" spans="1:11" x14ac:dyDescent="0.35">
      <c r="A54" s="16">
        <v>731741</v>
      </c>
      <c r="B54" s="16" t="s">
        <v>33</v>
      </c>
      <c r="C54" s="17">
        <v>111.88</v>
      </c>
      <c r="D54" s="17">
        <v>0</v>
      </c>
      <c r="E54" s="17">
        <v>4950</v>
      </c>
      <c r="F54" s="17">
        <v>0</v>
      </c>
      <c r="G54" s="17">
        <v>0</v>
      </c>
      <c r="H54" s="17">
        <v>0</v>
      </c>
      <c r="I54" s="17">
        <v>0</v>
      </c>
      <c r="J54" s="17">
        <v>5061.88</v>
      </c>
      <c r="K54" s="16" t="s">
        <v>49</v>
      </c>
    </row>
    <row r="55" spans="1:11" x14ac:dyDescent="0.35">
      <c r="A55" s="16">
        <v>474604</v>
      </c>
      <c r="B55" s="16" t="s">
        <v>33</v>
      </c>
      <c r="C55" s="17">
        <v>108.5</v>
      </c>
      <c r="D55" s="17">
        <v>0</v>
      </c>
      <c r="E55" s="17">
        <v>4680</v>
      </c>
      <c r="F55" s="17">
        <v>0</v>
      </c>
      <c r="G55" s="17">
        <v>0</v>
      </c>
      <c r="H55" s="17">
        <v>0</v>
      </c>
      <c r="I55" s="17">
        <v>95</v>
      </c>
      <c r="J55" s="17">
        <v>4883.5</v>
      </c>
      <c r="K55" s="16" t="s">
        <v>49</v>
      </c>
    </row>
    <row r="56" spans="1:11" x14ac:dyDescent="0.35">
      <c r="A56" s="16">
        <v>479669</v>
      </c>
      <c r="B56" s="16" t="s">
        <v>30</v>
      </c>
      <c r="C56" s="17">
        <v>0</v>
      </c>
      <c r="D56" s="17">
        <v>310</v>
      </c>
      <c r="E56" s="17">
        <v>1744.67</v>
      </c>
      <c r="F56" s="17">
        <v>65</v>
      </c>
      <c r="G56" s="17">
        <v>65</v>
      </c>
      <c r="H56" s="17">
        <v>65</v>
      </c>
      <c r="I56" s="17">
        <v>2373.9299999999998</v>
      </c>
      <c r="J56" s="17">
        <v>4623.6000000000004</v>
      </c>
      <c r="K56" s="16" t="s">
        <v>49</v>
      </c>
    </row>
    <row r="57" spans="1:11" x14ac:dyDescent="0.35">
      <c r="A57" s="16">
        <v>800734</v>
      </c>
      <c r="B57" s="16" t="s">
        <v>33</v>
      </c>
      <c r="C57" s="17">
        <v>105.08</v>
      </c>
      <c r="D57" s="17">
        <v>0</v>
      </c>
      <c r="E57" s="17">
        <v>4406.3999999999996</v>
      </c>
      <c r="F57" s="17">
        <v>0</v>
      </c>
      <c r="G57" s="17">
        <v>0</v>
      </c>
      <c r="H57" s="17">
        <v>0</v>
      </c>
      <c r="I57" s="17">
        <v>0</v>
      </c>
      <c r="J57" s="17">
        <v>4511.4799999999996</v>
      </c>
      <c r="K57" s="16" t="s">
        <v>49</v>
      </c>
    </row>
    <row r="58" spans="1:11" x14ac:dyDescent="0.35">
      <c r="A58" s="16">
        <v>774383</v>
      </c>
      <c r="B58" s="16" t="s">
        <v>30</v>
      </c>
      <c r="C58" s="17">
        <v>413.44</v>
      </c>
      <c r="D58" s="17">
        <v>0</v>
      </c>
      <c r="E58" s="17">
        <v>1994.05</v>
      </c>
      <c r="F58" s="17">
        <v>66.72</v>
      </c>
      <c r="G58" s="17">
        <v>66.72</v>
      </c>
      <c r="H58" s="17">
        <v>66.72</v>
      </c>
      <c r="I58" s="17">
        <v>1844.88</v>
      </c>
      <c r="J58" s="17">
        <v>4452.53</v>
      </c>
      <c r="K58" s="16" t="s">
        <v>49</v>
      </c>
    </row>
    <row r="59" spans="1:11" x14ac:dyDescent="0.35">
      <c r="A59" s="16">
        <v>716752</v>
      </c>
      <c r="B59" s="16" t="s">
        <v>30</v>
      </c>
      <c r="C59" s="17">
        <v>1072.5999999999999</v>
      </c>
      <c r="D59" s="17">
        <v>0</v>
      </c>
      <c r="E59" s="17">
        <v>1193.46</v>
      </c>
      <c r="F59" s="17">
        <v>63.17</v>
      </c>
      <c r="G59" s="17">
        <v>63.17</v>
      </c>
      <c r="H59" s="17">
        <v>63.17</v>
      </c>
      <c r="I59" s="17">
        <v>1597.62</v>
      </c>
      <c r="J59" s="17">
        <v>4053.19</v>
      </c>
      <c r="K59" s="16" t="s">
        <v>48</v>
      </c>
    </row>
    <row r="60" spans="1:11" x14ac:dyDescent="0.35">
      <c r="A60" s="16">
        <v>674832</v>
      </c>
      <c r="B60" s="16" t="s">
        <v>30</v>
      </c>
      <c r="C60" s="17">
        <v>1107.1199999999999</v>
      </c>
      <c r="D60" s="17">
        <v>0</v>
      </c>
      <c r="E60" s="17">
        <v>924.58</v>
      </c>
      <c r="F60" s="17">
        <v>59.68</v>
      </c>
      <c r="G60" s="17">
        <v>651.67999999999995</v>
      </c>
      <c r="H60" s="17">
        <v>59.68</v>
      </c>
      <c r="I60" s="17">
        <v>1234.2</v>
      </c>
      <c r="J60" s="17">
        <v>4036.94</v>
      </c>
      <c r="K60" s="16" t="s">
        <v>48</v>
      </c>
    </row>
    <row r="61" spans="1:11" x14ac:dyDescent="0.35">
      <c r="A61" s="16">
        <v>475433</v>
      </c>
      <c r="B61" s="16" t="s">
        <v>30</v>
      </c>
      <c r="C61" s="17">
        <v>941.31</v>
      </c>
      <c r="D61" s="17">
        <v>0</v>
      </c>
      <c r="E61" s="17">
        <v>821.69</v>
      </c>
      <c r="F61" s="17">
        <v>57.59</v>
      </c>
      <c r="G61" s="17">
        <v>1046.8399999999999</v>
      </c>
      <c r="H61" s="17">
        <v>57.59</v>
      </c>
      <c r="I61" s="17">
        <v>1054.3399999999999</v>
      </c>
      <c r="J61" s="17">
        <v>3979.36</v>
      </c>
      <c r="K61" s="16" t="s">
        <v>48</v>
      </c>
    </row>
    <row r="62" spans="1:11" x14ac:dyDescent="0.35">
      <c r="A62" s="16">
        <v>743626</v>
      </c>
      <c r="B62" s="16" t="s">
        <v>33</v>
      </c>
      <c r="C62" s="17">
        <v>97.52</v>
      </c>
      <c r="D62" s="17">
        <v>0</v>
      </c>
      <c r="E62" s="17">
        <v>3801.6</v>
      </c>
      <c r="F62" s="17">
        <v>0</v>
      </c>
      <c r="G62" s="17">
        <v>0</v>
      </c>
      <c r="H62" s="17">
        <v>0</v>
      </c>
      <c r="I62" s="17">
        <v>59.51</v>
      </c>
      <c r="J62" s="17">
        <v>3958.63</v>
      </c>
      <c r="K62" s="16" t="s">
        <v>49</v>
      </c>
    </row>
    <row r="63" spans="1:11" x14ac:dyDescent="0.35">
      <c r="A63" s="16">
        <v>629356</v>
      </c>
      <c r="B63" s="16" t="s">
        <v>30</v>
      </c>
      <c r="C63" s="17">
        <v>242.5</v>
      </c>
      <c r="D63" s="17">
        <v>208.31</v>
      </c>
      <c r="E63" s="17">
        <v>0</v>
      </c>
      <c r="F63" s="17">
        <v>0</v>
      </c>
      <c r="G63" s="17">
        <v>211.63</v>
      </c>
      <c r="H63" s="17">
        <v>0</v>
      </c>
      <c r="I63" s="17">
        <v>3273.23</v>
      </c>
      <c r="J63" s="17">
        <v>3935.67</v>
      </c>
      <c r="K63" s="16" t="s">
        <v>48</v>
      </c>
    </row>
    <row r="64" spans="1:11" x14ac:dyDescent="0.35">
      <c r="A64" s="16">
        <v>678184</v>
      </c>
      <c r="B64" s="16" t="s">
        <v>30</v>
      </c>
      <c r="C64" s="17">
        <v>400.91</v>
      </c>
      <c r="D64" s="17">
        <v>195</v>
      </c>
      <c r="E64" s="17">
        <v>1227.24</v>
      </c>
      <c r="F64" s="17">
        <v>63.58</v>
      </c>
      <c r="G64" s="17">
        <v>340.58</v>
      </c>
      <c r="H64" s="17">
        <v>63.58</v>
      </c>
      <c r="I64" s="17">
        <v>1573.15</v>
      </c>
      <c r="J64" s="17">
        <v>3864.04</v>
      </c>
      <c r="K64" s="16" t="s">
        <v>48</v>
      </c>
    </row>
    <row r="65" spans="1:11" x14ac:dyDescent="0.35">
      <c r="A65" s="16">
        <v>475348</v>
      </c>
      <c r="B65" s="16" t="s">
        <v>30</v>
      </c>
      <c r="C65" s="17">
        <v>1758.25</v>
      </c>
      <c r="D65" s="17">
        <v>0</v>
      </c>
      <c r="E65" s="17">
        <v>785.78</v>
      </c>
      <c r="F65" s="17">
        <v>57.13</v>
      </c>
      <c r="G65" s="17">
        <v>84.13</v>
      </c>
      <c r="H65" s="17">
        <v>57.13</v>
      </c>
      <c r="I65" s="17">
        <v>1014.44</v>
      </c>
      <c r="J65" s="17">
        <v>3756.86</v>
      </c>
      <c r="K65" s="16" t="s">
        <v>48</v>
      </c>
    </row>
    <row r="66" spans="1:11" x14ac:dyDescent="0.35">
      <c r="A66" s="16">
        <v>476455</v>
      </c>
      <c r="B66" s="16" t="s">
        <v>30</v>
      </c>
      <c r="C66" s="17">
        <v>533.96</v>
      </c>
      <c r="D66" s="17">
        <v>0</v>
      </c>
      <c r="E66" s="17">
        <v>1031.05</v>
      </c>
      <c r="F66" s="17">
        <v>60.22</v>
      </c>
      <c r="G66" s="17">
        <v>86.22</v>
      </c>
      <c r="H66" s="17">
        <v>60.22</v>
      </c>
      <c r="I66" s="17">
        <v>1943.38</v>
      </c>
      <c r="J66" s="17">
        <v>3715.05</v>
      </c>
      <c r="K66" s="16" t="s">
        <v>48</v>
      </c>
    </row>
    <row r="67" spans="1:11" x14ac:dyDescent="0.35">
      <c r="A67" s="16">
        <v>475307</v>
      </c>
      <c r="B67" s="16" t="s">
        <v>30</v>
      </c>
      <c r="C67" s="17">
        <v>1101.33</v>
      </c>
      <c r="D67" s="17">
        <v>0</v>
      </c>
      <c r="E67" s="17">
        <v>750.85</v>
      </c>
      <c r="F67" s="17">
        <v>55.94</v>
      </c>
      <c r="G67" s="17">
        <v>645.94000000000005</v>
      </c>
      <c r="H67" s="17">
        <v>55.94</v>
      </c>
      <c r="I67" s="17">
        <v>1091.2</v>
      </c>
      <c r="J67" s="17">
        <v>3701.2</v>
      </c>
      <c r="K67" s="16" t="s">
        <v>48</v>
      </c>
    </row>
    <row r="68" spans="1:11" x14ac:dyDescent="0.35">
      <c r="A68" s="16">
        <v>673849</v>
      </c>
      <c r="B68" s="16" t="s">
        <v>33</v>
      </c>
      <c r="C68" s="17">
        <v>93.42</v>
      </c>
      <c r="D68" s="17">
        <v>0</v>
      </c>
      <c r="E68" s="17">
        <v>3473.28</v>
      </c>
      <c r="F68" s="17">
        <v>0</v>
      </c>
      <c r="G68" s="17">
        <v>0</v>
      </c>
      <c r="H68" s="17">
        <v>0</v>
      </c>
      <c r="I68" s="17">
        <v>0</v>
      </c>
      <c r="J68" s="17">
        <v>3566.7</v>
      </c>
      <c r="K68" s="16" t="s">
        <v>49</v>
      </c>
    </row>
    <row r="69" spans="1:11" x14ac:dyDescent="0.35">
      <c r="A69" s="16">
        <v>789970</v>
      </c>
      <c r="B69" s="16" t="s">
        <v>39</v>
      </c>
      <c r="C69" s="17">
        <v>48.75</v>
      </c>
      <c r="D69" s="17">
        <v>720.13</v>
      </c>
      <c r="E69" s="17">
        <v>821.34</v>
      </c>
      <c r="F69" s="17">
        <v>59.44</v>
      </c>
      <c r="G69" s="17">
        <v>385.84</v>
      </c>
      <c r="H69" s="17">
        <v>59.44</v>
      </c>
      <c r="I69" s="17">
        <v>1441.62</v>
      </c>
      <c r="J69" s="17">
        <v>3536.56</v>
      </c>
      <c r="K69" s="16" t="s">
        <v>48</v>
      </c>
    </row>
    <row r="70" spans="1:11" x14ac:dyDescent="0.35">
      <c r="A70" s="16">
        <v>474821</v>
      </c>
      <c r="B70" s="16" t="s">
        <v>30</v>
      </c>
      <c r="C70" s="17">
        <v>1873.39</v>
      </c>
      <c r="D70" s="17">
        <v>0</v>
      </c>
      <c r="E70" s="17">
        <v>591.11</v>
      </c>
      <c r="F70" s="17">
        <v>54.95</v>
      </c>
      <c r="G70" s="17">
        <v>54.95</v>
      </c>
      <c r="H70" s="17">
        <v>54.95</v>
      </c>
      <c r="I70" s="17">
        <v>882.69</v>
      </c>
      <c r="J70" s="17">
        <v>3512.04</v>
      </c>
      <c r="K70" s="16" t="s">
        <v>48</v>
      </c>
    </row>
    <row r="71" spans="1:11" x14ac:dyDescent="0.35">
      <c r="A71" s="16">
        <v>879901</v>
      </c>
      <c r="B71" s="16"/>
      <c r="C71" s="17">
        <v>3457.35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3457.35</v>
      </c>
      <c r="K71" s="16" t="s">
        <v>48</v>
      </c>
    </row>
    <row r="72" spans="1:11" x14ac:dyDescent="0.35">
      <c r="A72" s="16">
        <v>478050</v>
      </c>
      <c r="B72" s="16" t="s">
        <v>30</v>
      </c>
      <c r="C72" s="17">
        <v>410.44</v>
      </c>
      <c r="D72" s="17">
        <v>97.5</v>
      </c>
      <c r="E72" s="17">
        <v>1095.28</v>
      </c>
      <c r="F72" s="17">
        <v>60.93</v>
      </c>
      <c r="G72" s="17">
        <v>336.93</v>
      </c>
      <c r="H72" s="17">
        <v>60.93</v>
      </c>
      <c r="I72" s="17">
        <v>1341.77</v>
      </c>
      <c r="J72" s="17">
        <v>3403.78</v>
      </c>
      <c r="K72" s="16" t="s">
        <v>48</v>
      </c>
    </row>
    <row r="73" spans="1:11" x14ac:dyDescent="0.35">
      <c r="A73" s="16">
        <v>478487</v>
      </c>
      <c r="B73" s="16" t="s">
        <v>30</v>
      </c>
      <c r="C73" s="17">
        <v>76.39</v>
      </c>
      <c r="D73" s="17">
        <v>97.5</v>
      </c>
      <c r="E73" s="17">
        <v>1242.8699999999999</v>
      </c>
      <c r="F73" s="17">
        <v>62.59</v>
      </c>
      <c r="G73" s="17">
        <v>339.09</v>
      </c>
      <c r="H73" s="17">
        <v>62.59</v>
      </c>
      <c r="I73" s="17">
        <v>1488.16</v>
      </c>
      <c r="J73" s="17">
        <v>3369.19</v>
      </c>
      <c r="K73" s="16" t="s">
        <v>48</v>
      </c>
    </row>
    <row r="74" spans="1:11" x14ac:dyDescent="0.35">
      <c r="A74" s="16">
        <v>477063</v>
      </c>
      <c r="B74" s="16" t="s">
        <v>30</v>
      </c>
      <c r="C74" s="17">
        <v>409.3</v>
      </c>
      <c r="D74" s="17">
        <v>97.5</v>
      </c>
      <c r="E74" s="17">
        <v>1020.44</v>
      </c>
      <c r="F74" s="17">
        <v>60.7</v>
      </c>
      <c r="G74" s="17">
        <v>336.2</v>
      </c>
      <c r="H74" s="17">
        <v>60.7</v>
      </c>
      <c r="I74" s="17">
        <v>1321.99</v>
      </c>
      <c r="J74" s="17">
        <v>3306.83</v>
      </c>
      <c r="K74" s="16" t="s">
        <v>48</v>
      </c>
    </row>
    <row r="75" spans="1:11" x14ac:dyDescent="0.35">
      <c r="A75" s="16">
        <v>475341</v>
      </c>
      <c r="B75" s="16" t="s">
        <v>30</v>
      </c>
      <c r="C75" s="17">
        <v>0</v>
      </c>
      <c r="D75" s="17">
        <v>0</v>
      </c>
      <c r="E75" s="17">
        <v>652.1</v>
      </c>
      <c r="F75" s="17">
        <v>0</v>
      </c>
      <c r="G75" s="17">
        <v>0</v>
      </c>
      <c r="H75" s="17">
        <v>69.989999999999995</v>
      </c>
      <c r="I75" s="17">
        <v>2504.48</v>
      </c>
      <c r="J75" s="17">
        <v>3226.57</v>
      </c>
      <c r="K75" s="16" t="s">
        <v>48</v>
      </c>
    </row>
    <row r="76" spans="1:11" x14ac:dyDescent="0.35">
      <c r="A76" s="16">
        <v>478903</v>
      </c>
      <c r="B76" s="16" t="s">
        <v>33</v>
      </c>
      <c r="C76" s="17">
        <v>71.260000000000005</v>
      </c>
      <c r="D76" s="17">
        <v>612.34</v>
      </c>
      <c r="E76" s="17">
        <v>1701</v>
      </c>
      <c r="F76" s="17">
        <v>0</v>
      </c>
      <c r="G76" s="17">
        <v>46.1</v>
      </c>
      <c r="H76" s="17">
        <v>0</v>
      </c>
      <c r="I76" s="17">
        <v>779.39</v>
      </c>
      <c r="J76" s="17">
        <v>3210.09</v>
      </c>
      <c r="K76" s="16" t="s">
        <v>49</v>
      </c>
    </row>
    <row r="77" spans="1:11" x14ac:dyDescent="0.35">
      <c r="A77" s="16">
        <v>477247</v>
      </c>
      <c r="B77" s="16" t="s">
        <v>30</v>
      </c>
      <c r="C77" s="17">
        <v>405.89</v>
      </c>
      <c r="D77" s="17">
        <v>97.5</v>
      </c>
      <c r="E77" s="17">
        <v>897.79</v>
      </c>
      <c r="F77" s="17">
        <v>58.76</v>
      </c>
      <c r="G77" s="17">
        <v>333.76</v>
      </c>
      <c r="H77" s="17">
        <v>58.76</v>
      </c>
      <c r="I77" s="17">
        <v>1154.8900000000001</v>
      </c>
      <c r="J77" s="17">
        <v>3007.35</v>
      </c>
      <c r="K77" s="16" t="s">
        <v>48</v>
      </c>
    </row>
    <row r="78" spans="1:11" x14ac:dyDescent="0.35">
      <c r="A78" s="16">
        <v>572857</v>
      </c>
      <c r="B78" s="16" t="s">
        <v>30</v>
      </c>
      <c r="C78" s="17">
        <v>76.41</v>
      </c>
      <c r="D78" s="17">
        <v>0</v>
      </c>
      <c r="E78" s="17">
        <v>1276.07</v>
      </c>
      <c r="F78" s="17">
        <v>62.19</v>
      </c>
      <c r="G78" s="17">
        <v>62.19</v>
      </c>
      <c r="H78" s="17">
        <v>62.19</v>
      </c>
      <c r="I78" s="17">
        <v>1453.48</v>
      </c>
      <c r="J78" s="17">
        <v>2992.53</v>
      </c>
      <c r="K78" s="16" t="s">
        <v>48</v>
      </c>
    </row>
    <row r="79" spans="1:11" x14ac:dyDescent="0.35">
      <c r="A79" s="16">
        <v>813419</v>
      </c>
      <c r="B79" s="16" t="s">
        <v>30</v>
      </c>
      <c r="C79" s="17">
        <v>391.33</v>
      </c>
      <c r="D79" s="17">
        <v>0</v>
      </c>
      <c r="E79" s="17">
        <v>848.78</v>
      </c>
      <c r="F79" s="17">
        <v>58.55</v>
      </c>
      <c r="G79" s="17">
        <v>58.55</v>
      </c>
      <c r="H79" s="17">
        <v>58.55</v>
      </c>
      <c r="I79" s="17">
        <v>1528.37</v>
      </c>
      <c r="J79" s="17">
        <v>2944.13</v>
      </c>
      <c r="K79" s="16" t="s">
        <v>48</v>
      </c>
    </row>
    <row r="80" spans="1:11" x14ac:dyDescent="0.35">
      <c r="A80" s="16">
        <v>713250</v>
      </c>
      <c r="B80" s="16" t="s">
        <v>30</v>
      </c>
      <c r="C80" s="17">
        <v>388.44</v>
      </c>
      <c r="D80" s="17">
        <v>97.5</v>
      </c>
      <c r="E80" s="17">
        <v>709.6</v>
      </c>
      <c r="F80" s="17">
        <v>57.34</v>
      </c>
      <c r="G80" s="17">
        <v>492.34</v>
      </c>
      <c r="H80" s="17">
        <v>57.34</v>
      </c>
      <c r="I80" s="17">
        <v>1033.08</v>
      </c>
      <c r="J80" s="17">
        <v>2835.64</v>
      </c>
      <c r="K80" s="16" t="s">
        <v>48</v>
      </c>
    </row>
    <row r="81" spans="1:11" x14ac:dyDescent="0.35">
      <c r="A81" s="16">
        <v>805139</v>
      </c>
      <c r="B81" s="16" t="s">
        <v>30</v>
      </c>
      <c r="C81" s="17">
        <v>62</v>
      </c>
      <c r="D81" s="17">
        <v>97.5</v>
      </c>
      <c r="E81" s="17">
        <v>593.39</v>
      </c>
      <c r="F81" s="17">
        <v>56.06</v>
      </c>
      <c r="G81" s="17">
        <v>491.06</v>
      </c>
      <c r="H81" s="17">
        <v>56.06</v>
      </c>
      <c r="I81" s="17">
        <v>1354.61</v>
      </c>
      <c r="J81" s="17">
        <v>2710.68</v>
      </c>
      <c r="K81" s="16" t="s">
        <v>48</v>
      </c>
    </row>
    <row r="82" spans="1:11" x14ac:dyDescent="0.35">
      <c r="A82" s="16">
        <v>477083</v>
      </c>
      <c r="B82" s="16" t="s">
        <v>30</v>
      </c>
      <c r="C82" s="17">
        <v>73.84</v>
      </c>
      <c r="D82" s="17">
        <v>0</v>
      </c>
      <c r="E82" s="17">
        <v>1072.9100000000001</v>
      </c>
      <c r="F82" s="17">
        <v>25</v>
      </c>
      <c r="G82" s="17">
        <v>301.5</v>
      </c>
      <c r="H82" s="17">
        <v>25</v>
      </c>
      <c r="I82" s="17">
        <v>1183.25</v>
      </c>
      <c r="J82" s="17">
        <v>2681.5</v>
      </c>
      <c r="K82" s="16" t="s">
        <v>48</v>
      </c>
    </row>
    <row r="83" spans="1:11" x14ac:dyDescent="0.35">
      <c r="A83" s="16">
        <v>474530</v>
      </c>
      <c r="B83" s="16"/>
      <c r="C83" s="17">
        <v>82.29</v>
      </c>
      <c r="D83" s="17">
        <v>0</v>
      </c>
      <c r="E83" s="17">
        <v>2583</v>
      </c>
      <c r="F83" s="17">
        <v>0</v>
      </c>
      <c r="G83" s="17">
        <v>0</v>
      </c>
      <c r="H83" s="17">
        <v>0</v>
      </c>
      <c r="I83" s="17">
        <v>0</v>
      </c>
      <c r="J83" s="17">
        <v>2665.29</v>
      </c>
      <c r="K83" s="16" t="s">
        <v>49</v>
      </c>
    </row>
    <row r="84" spans="1:11" x14ac:dyDescent="0.35">
      <c r="A84" s="16">
        <v>478044</v>
      </c>
      <c r="B84" s="16" t="s">
        <v>33</v>
      </c>
      <c r="C84" s="17">
        <v>67.08</v>
      </c>
      <c r="D84" s="17">
        <v>0</v>
      </c>
      <c r="E84" s="17">
        <v>1366.4</v>
      </c>
      <c r="F84" s="17">
        <v>0</v>
      </c>
      <c r="G84" s="17">
        <v>0</v>
      </c>
      <c r="H84" s="17">
        <v>0</v>
      </c>
      <c r="I84" s="17">
        <v>1211.4100000000001</v>
      </c>
      <c r="J84" s="17">
        <v>2644.89</v>
      </c>
      <c r="K84" s="16" t="s">
        <v>48</v>
      </c>
    </row>
    <row r="85" spans="1:11" x14ac:dyDescent="0.35">
      <c r="A85" s="16">
        <v>475678</v>
      </c>
      <c r="B85" s="16" t="s">
        <v>30</v>
      </c>
      <c r="C85" s="17">
        <v>405.68</v>
      </c>
      <c r="D85" s="17">
        <v>0</v>
      </c>
      <c r="E85" s="17">
        <v>888.58</v>
      </c>
      <c r="F85" s="17">
        <v>58.66</v>
      </c>
      <c r="G85" s="17">
        <v>58.66</v>
      </c>
      <c r="H85" s="17">
        <v>58.66</v>
      </c>
      <c r="I85" s="17">
        <v>1146.18</v>
      </c>
      <c r="J85" s="17">
        <v>2616.42</v>
      </c>
      <c r="K85" s="16" t="s">
        <v>48</v>
      </c>
    </row>
    <row r="86" spans="1:11" x14ac:dyDescent="0.35">
      <c r="A86" s="16">
        <v>477524</v>
      </c>
      <c r="B86" s="16" t="s">
        <v>30</v>
      </c>
      <c r="C86" s="17">
        <v>69.88</v>
      </c>
      <c r="D86" s="17">
        <v>0</v>
      </c>
      <c r="E86" s="17">
        <v>1080.17</v>
      </c>
      <c r="F86" s="17">
        <v>0</v>
      </c>
      <c r="G86" s="17">
        <v>0</v>
      </c>
      <c r="H86" s="17">
        <v>0</v>
      </c>
      <c r="I86" s="17">
        <v>1455.22</v>
      </c>
      <c r="J86" s="17">
        <v>2605.27</v>
      </c>
      <c r="K86" s="16" t="s">
        <v>48</v>
      </c>
    </row>
    <row r="87" spans="1:11" x14ac:dyDescent="0.35">
      <c r="A87" s="16">
        <v>476902</v>
      </c>
      <c r="B87" s="16" t="s">
        <v>30</v>
      </c>
      <c r="C87" s="17">
        <v>400.85</v>
      </c>
      <c r="D87" s="17">
        <v>97.5</v>
      </c>
      <c r="E87" s="17">
        <v>885.97</v>
      </c>
      <c r="F87" s="17">
        <v>53.74</v>
      </c>
      <c r="G87" s="17">
        <v>330.64</v>
      </c>
      <c r="H87" s="17">
        <v>53.74</v>
      </c>
      <c r="I87" s="17">
        <v>775.33</v>
      </c>
      <c r="J87" s="17">
        <v>2597.77</v>
      </c>
      <c r="K87" s="16" t="s">
        <v>48</v>
      </c>
    </row>
    <row r="88" spans="1:11" x14ac:dyDescent="0.35">
      <c r="A88" s="16">
        <v>696839</v>
      </c>
      <c r="B88" s="16" t="s">
        <v>33</v>
      </c>
      <c r="C88" s="17">
        <v>80.84</v>
      </c>
      <c r="D88" s="17">
        <v>0</v>
      </c>
      <c r="E88" s="17">
        <v>2467.5100000000002</v>
      </c>
      <c r="F88" s="17">
        <v>0</v>
      </c>
      <c r="G88" s="17">
        <v>0</v>
      </c>
      <c r="H88" s="17">
        <v>0</v>
      </c>
      <c r="I88" s="17">
        <v>0</v>
      </c>
      <c r="J88" s="17">
        <v>2548.35</v>
      </c>
      <c r="K88" s="16" t="s">
        <v>49</v>
      </c>
    </row>
    <row r="89" spans="1:11" x14ac:dyDescent="0.35">
      <c r="A89" s="16">
        <v>476241</v>
      </c>
      <c r="B89" s="16" t="s">
        <v>30</v>
      </c>
      <c r="C89" s="17">
        <v>66.33</v>
      </c>
      <c r="D89" s="17">
        <v>298.75</v>
      </c>
      <c r="E89" s="17">
        <v>906.21</v>
      </c>
      <c r="F89" s="17">
        <v>58.1</v>
      </c>
      <c r="G89" s="17">
        <v>59.72</v>
      </c>
      <c r="H89" s="17">
        <v>58.1</v>
      </c>
      <c r="I89" s="17">
        <v>1098.22</v>
      </c>
      <c r="J89" s="17">
        <v>2545.4299999999998</v>
      </c>
      <c r="K89" s="16" t="s">
        <v>48</v>
      </c>
    </row>
    <row r="90" spans="1:11" x14ac:dyDescent="0.35">
      <c r="A90" s="16">
        <v>477499</v>
      </c>
      <c r="B90" s="16"/>
      <c r="C90" s="17">
        <v>2497.36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2497.36</v>
      </c>
      <c r="K90" s="16" t="s">
        <v>48</v>
      </c>
    </row>
    <row r="91" spans="1:11" x14ac:dyDescent="0.35">
      <c r="A91" s="16">
        <v>777166</v>
      </c>
      <c r="B91" s="16" t="s">
        <v>30</v>
      </c>
      <c r="C91" s="17">
        <v>399.2</v>
      </c>
      <c r="D91" s="17">
        <v>97.5</v>
      </c>
      <c r="E91" s="17">
        <v>612.91999999999996</v>
      </c>
      <c r="F91" s="17">
        <v>55.5</v>
      </c>
      <c r="G91" s="17">
        <v>332</v>
      </c>
      <c r="H91" s="17">
        <v>55.5</v>
      </c>
      <c r="I91" s="17">
        <v>874.5</v>
      </c>
      <c r="J91" s="17">
        <v>2427.12</v>
      </c>
      <c r="K91" s="16" t="s">
        <v>48</v>
      </c>
    </row>
    <row r="92" spans="1:11" x14ac:dyDescent="0.35">
      <c r="A92" s="16">
        <v>476402</v>
      </c>
      <c r="B92" s="16"/>
      <c r="C92" s="17">
        <v>0</v>
      </c>
      <c r="D92" s="17">
        <v>0</v>
      </c>
      <c r="E92" s="17">
        <v>0.03</v>
      </c>
      <c r="F92" s="17">
        <v>0</v>
      </c>
      <c r="G92" s="17">
        <v>0</v>
      </c>
      <c r="H92" s="17">
        <v>0</v>
      </c>
      <c r="I92" s="17">
        <v>2277.7800000000002</v>
      </c>
      <c r="J92" s="17">
        <v>2277.81</v>
      </c>
      <c r="K92" s="16" t="s">
        <v>48</v>
      </c>
    </row>
    <row r="93" spans="1:11" x14ac:dyDescent="0.35">
      <c r="A93" s="16">
        <v>474807</v>
      </c>
      <c r="B93" s="16" t="s">
        <v>30</v>
      </c>
      <c r="C93" s="17">
        <v>388.27</v>
      </c>
      <c r="D93" s="17">
        <v>0</v>
      </c>
      <c r="E93" s="17">
        <v>836.44</v>
      </c>
      <c r="F93" s="17">
        <v>55.57</v>
      </c>
      <c r="G93" s="17">
        <v>55.57</v>
      </c>
      <c r="H93" s="17">
        <v>55.57</v>
      </c>
      <c r="I93" s="17">
        <v>881.18</v>
      </c>
      <c r="J93" s="17">
        <v>2272.6</v>
      </c>
      <c r="K93" s="16" t="s">
        <v>48</v>
      </c>
    </row>
    <row r="94" spans="1:11" x14ac:dyDescent="0.35">
      <c r="A94" s="16">
        <v>477145</v>
      </c>
      <c r="B94" s="16" t="s">
        <v>36</v>
      </c>
      <c r="C94" s="17">
        <v>72.61</v>
      </c>
      <c r="D94" s="17">
        <v>0</v>
      </c>
      <c r="E94" s="17">
        <v>1061.51</v>
      </c>
      <c r="F94" s="17">
        <v>57.53</v>
      </c>
      <c r="G94" s="17">
        <v>57.53</v>
      </c>
      <c r="H94" s="17">
        <v>57.53</v>
      </c>
      <c r="I94" s="17">
        <v>931.74</v>
      </c>
      <c r="J94" s="17">
        <v>2238.4499999999998</v>
      </c>
      <c r="K94" s="16" t="s">
        <v>48</v>
      </c>
    </row>
    <row r="95" spans="1:11" x14ac:dyDescent="0.35">
      <c r="A95" s="16">
        <v>667034</v>
      </c>
      <c r="B95" s="16" t="s">
        <v>33</v>
      </c>
      <c r="C95" s="17">
        <v>76.900000000000006</v>
      </c>
      <c r="D95" s="17">
        <v>0</v>
      </c>
      <c r="E95" s="17">
        <v>2152.04</v>
      </c>
      <c r="F95" s="17">
        <v>0</v>
      </c>
      <c r="G95" s="17">
        <v>0</v>
      </c>
      <c r="H95" s="17">
        <v>0</v>
      </c>
      <c r="I95" s="17">
        <v>0</v>
      </c>
      <c r="J95" s="17">
        <v>2228.94</v>
      </c>
      <c r="K95" s="16" t="s">
        <v>49</v>
      </c>
    </row>
    <row r="96" spans="1:11" x14ac:dyDescent="0.35">
      <c r="A96" s="16">
        <v>474569</v>
      </c>
      <c r="B96" s="16" t="s">
        <v>33</v>
      </c>
      <c r="C96" s="17">
        <v>76.58</v>
      </c>
      <c r="D96" s="17">
        <v>0</v>
      </c>
      <c r="E96" s="17">
        <v>2126.66</v>
      </c>
      <c r="F96" s="17">
        <v>0</v>
      </c>
      <c r="G96" s="17">
        <v>0</v>
      </c>
      <c r="H96" s="17">
        <v>0</v>
      </c>
      <c r="I96" s="17">
        <v>0</v>
      </c>
      <c r="J96" s="17">
        <v>2203.2399999999998</v>
      </c>
      <c r="K96" s="16" t="s">
        <v>49</v>
      </c>
    </row>
    <row r="97" spans="1:11" x14ac:dyDescent="0.35">
      <c r="A97" s="16">
        <v>478911</v>
      </c>
      <c r="B97" s="16" t="s">
        <v>33</v>
      </c>
      <c r="C97" s="17">
        <v>75.59</v>
      </c>
      <c r="D97" s="17">
        <v>0</v>
      </c>
      <c r="E97" s="17">
        <v>1664.14</v>
      </c>
      <c r="F97" s="17">
        <v>0</v>
      </c>
      <c r="G97" s="17">
        <v>0</v>
      </c>
      <c r="H97" s="17">
        <v>0</v>
      </c>
      <c r="I97" s="17">
        <v>453.89</v>
      </c>
      <c r="J97" s="17">
        <v>2193.62</v>
      </c>
      <c r="K97" s="16" t="s">
        <v>49</v>
      </c>
    </row>
    <row r="98" spans="1:11" x14ac:dyDescent="0.35">
      <c r="A98" s="16">
        <v>574016</v>
      </c>
      <c r="B98" s="16"/>
      <c r="C98" s="17">
        <v>76.3</v>
      </c>
      <c r="D98" s="17">
        <v>0</v>
      </c>
      <c r="E98" s="17">
        <v>2104.04</v>
      </c>
      <c r="F98" s="17">
        <v>0</v>
      </c>
      <c r="G98" s="17">
        <v>0</v>
      </c>
      <c r="H98" s="17">
        <v>0</v>
      </c>
      <c r="I98" s="17">
        <v>0</v>
      </c>
      <c r="J98" s="17">
        <v>2180.34</v>
      </c>
      <c r="K98" s="16" t="s">
        <v>49</v>
      </c>
    </row>
    <row r="99" spans="1:11" x14ac:dyDescent="0.35">
      <c r="A99" s="16">
        <v>475145</v>
      </c>
      <c r="B99" s="16" t="s">
        <v>30</v>
      </c>
      <c r="C99" s="17">
        <v>176.97</v>
      </c>
      <c r="D99" s="17">
        <v>0</v>
      </c>
      <c r="E99" s="17">
        <v>899.08</v>
      </c>
      <c r="F99" s="17">
        <v>0</v>
      </c>
      <c r="G99" s="17">
        <v>0</v>
      </c>
      <c r="H99" s="17">
        <v>0</v>
      </c>
      <c r="I99" s="17">
        <v>1088.79</v>
      </c>
      <c r="J99" s="17">
        <v>2164.84</v>
      </c>
      <c r="K99" s="16" t="s">
        <v>48</v>
      </c>
    </row>
    <row r="100" spans="1:11" x14ac:dyDescent="0.35">
      <c r="A100" s="16">
        <v>518510</v>
      </c>
      <c r="B100" s="16" t="s">
        <v>33</v>
      </c>
      <c r="C100" s="17">
        <v>0</v>
      </c>
      <c r="D100" s="17">
        <v>0</v>
      </c>
      <c r="E100" s="17">
        <v>830.93</v>
      </c>
      <c r="F100" s="17">
        <v>0</v>
      </c>
      <c r="G100" s="17">
        <v>0</v>
      </c>
      <c r="H100" s="17">
        <v>0</v>
      </c>
      <c r="I100" s="17">
        <v>1285.23</v>
      </c>
      <c r="J100" s="17">
        <v>2116.16</v>
      </c>
      <c r="K100" s="16" t="s">
        <v>48</v>
      </c>
    </row>
    <row r="101" spans="1:11" x14ac:dyDescent="0.35">
      <c r="A101" s="16">
        <v>474541</v>
      </c>
      <c r="B101" s="16" t="s">
        <v>33</v>
      </c>
      <c r="C101" s="17">
        <v>75.31</v>
      </c>
      <c r="D101" s="17">
        <v>0</v>
      </c>
      <c r="E101" s="17">
        <v>2025</v>
      </c>
      <c r="F101" s="17">
        <v>0</v>
      </c>
      <c r="G101" s="17">
        <v>0</v>
      </c>
      <c r="H101" s="17">
        <v>0</v>
      </c>
      <c r="I101" s="17">
        <v>0</v>
      </c>
      <c r="J101" s="17">
        <v>2100.31</v>
      </c>
      <c r="K101" s="16" t="s">
        <v>49</v>
      </c>
    </row>
    <row r="102" spans="1:11" x14ac:dyDescent="0.35">
      <c r="A102" s="16">
        <v>617332</v>
      </c>
      <c r="B102" s="16" t="s">
        <v>33</v>
      </c>
      <c r="C102" s="17">
        <v>73.58</v>
      </c>
      <c r="D102" s="17">
        <v>0</v>
      </c>
      <c r="E102" s="17">
        <v>1886.36</v>
      </c>
      <c r="F102" s="17">
        <v>0</v>
      </c>
      <c r="G102" s="17">
        <v>0</v>
      </c>
      <c r="H102" s="17">
        <v>0</v>
      </c>
      <c r="I102" s="17">
        <v>130.75</v>
      </c>
      <c r="J102" s="17">
        <v>2090.69</v>
      </c>
      <c r="K102" s="16" t="s">
        <v>49</v>
      </c>
    </row>
    <row r="103" spans="1:11" x14ac:dyDescent="0.35">
      <c r="A103" s="16">
        <v>880473</v>
      </c>
      <c r="B103" s="16"/>
      <c r="C103" s="17">
        <v>1987.6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1987.6</v>
      </c>
      <c r="K103" s="16" t="s">
        <v>48</v>
      </c>
    </row>
    <row r="104" spans="1:11" x14ac:dyDescent="0.35">
      <c r="A104" s="16">
        <v>478086</v>
      </c>
      <c r="B104" s="16" t="s">
        <v>30</v>
      </c>
      <c r="C104" s="17">
        <v>64.27</v>
      </c>
      <c r="D104" s="17">
        <v>0</v>
      </c>
      <c r="E104" s="17">
        <v>660.67</v>
      </c>
      <c r="F104" s="17">
        <v>25</v>
      </c>
      <c r="G104" s="17">
        <v>229.32</v>
      </c>
      <c r="H104" s="17">
        <v>25</v>
      </c>
      <c r="I104" s="17">
        <v>934.67</v>
      </c>
      <c r="J104" s="17">
        <v>1938.93</v>
      </c>
      <c r="K104" s="16" t="s">
        <v>48</v>
      </c>
    </row>
    <row r="105" spans="1:11" x14ac:dyDescent="0.35">
      <c r="A105" s="16">
        <v>608871</v>
      </c>
      <c r="B105" s="16" t="s">
        <v>33</v>
      </c>
      <c r="C105" s="17">
        <v>60.2</v>
      </c>
      <c r="D105" s="17">
        <v>0</v>
      </c>
      <c r="E105" s="17">
        <v>815.81</v>
      </c>
      <c r="F105" s="17">
        <v>0</v>
      </c>
      <c r="G105" s="17">
        <v>0</v>
      </c>
      <c r="H105" s="17">
        <v>0</v>
      </c>
      <c r="I105" s="17">
        <v>1027.48</v>
      </c>
      <c r="J105" s="17">
        <v>1903.49</v>
      </c>
      <c r="K105" s="16" t="s">
        <v>48</v>
      </c>
    </row>
    <row r="106" spans="1:11" x14ac:dyDescent="0.35">
      <c r="A106" s="16">
        <v>474806</v>
      </c>
      <c r="B106" s="16"/>
      <c r="C106" s="17">
        <v>61.96</v>
      </c>
      <c r="D106" s="17">
        <v>0</v>
      </c>
      <c r="E106" s="17">
        <v>795.69</v>
      </c>
      <c r="F106" s="17">
        <v>53.46</v>
      </c>
      <c r="G106" s="17">
        <v>287.20999999999998</v>
      </c>
      <c r="H106" s="17">
        <v>53.46</v>
      </c>
      <c r="I106" s="17">
        <v>650.66999999999996</v>
      </c>
      <c r="J106" s="17">
        <v>1902.45</v>
      </c>
      <c r="K106" s="16" t="s">
        <v>48</v>
      </c>
    </row>
    <row r="107" spans="1:11" x14ac:dyDescent="0.35">
      <c r="A107" s="16">
        <v>678179</v>
      </c>
      <c r="B107" s="16" t="s">
        <v>33</v>
      </c>
      <c r="C107" s="17">
        <v>72.209999999999994</v>
      </c>
      <c r="D107" s="17">
        <v>0</v>
      </c>
      <c r="E107" s="17">
        <v>1776.67</v>
      </c>
      <c r="F107" s="17">
        <v>0</v>
      </c>
      <c r="G107" s="17">
        <v>0</v>
      </c>
      <c r="H107" s="17">
        <v>0</v>
      </c>
      <c r="I107" s="17">
        <v>0</v>
      </c>
      <c r="J107" s="17">
        <v>1848.88</v>
      </c>
      <c r="K107" s="16" t="s">
        <v>49</v>
      </c>
    </row>
    <row r="108" spans="1:11" x14ac:dyDescent="0.35">
      <c r="A108" s="16">
        <v>602427</v>
      </c>
      <c r="B108" s="16" t="s">
        <v>33</v>
      </c>
      <c r="C108" s="17">
        <v>72.2</v>
      </c>
      <c r="D108" s="17">
        <v>0</v>
      </c>
      <c r="E108" s="17">
        <v>1775.95</v>
      </c>
      <c r="F108" s="17">
        <v>0</v>
      </c>
      <c r="G108" s="17">
        <v>0</v>
      </c>
      <c r="H108" s="17">
        <v>0</v>
      </c>
      <c r="I108" s="17">
        <v>0</v>
      </c>
      <c r="J108" s="17">
        <v>1848.15</v>
      </c>
      <c r="K108" s="16" t="s">
        <v>49</v>
      </c>
    </row>
    <row r="109" spans="1:11" x14ac:dyDescent="0.35">
      <c r="A109" s="16">
        <v>770814</v>
      </c>
      <c r="B109" s="16" t="s">
        <v>33</v>
      </c>
      <c r="C109" s="17">
        <v>71.98</v>
      </c>
      <c r="D109" s="17">
        <v>0</v>
      </c>
      <c r="E109" s="17">
        <v>1758.38</v>
      </c>
      <c r="F109" s="17">
        <v>0</v>
      </c>
      <c r="G109" s="17">
        <v>0</v>
      </c>
      <c r="H109" s="17">
        <v>0</v>
      </c>
      <c r="I109" s="17">
        <v>0</v>
      </c>
      <c r="J109" s="17">
        <v>1830.36</v>
      </c>
      <c r="K109" s="16" t="s">
        <v>49</v>
      </c>
    </row>
    <row r="110" spans="1:11" x14ac:dyDescent="0.35">
      <c r="A110" s="16">
        <v>474555</v>
      </c>
      <c r="B110" s="16" t="s">
        <v>33</v>
      </c>
      <c r="C110" s="17">
        <v>70.83</v>
      </c>
      <c r="D110" s="17">
        <v>0</v>
      </c>
      <c r="E110" s="17">
        <v>1666.05</v>
      </c>
      <c r="F110" s="17">
        <v>0</v>
      </c>
      <c r="G110" s="17">
        <v>0</v>
      </c>
      <c r="H110" s="17">
        <v>0</v>
      </c>
      <c r="I110" s="17">
        <v>0</v>
      </c>
      <c r="J110" s="17">
        <v>1736.88</v>
      </c>
      <c r="K110" s="16" t="s">
        <v>49</v>
      </c>
    </row>
    <row r="111" spans="1:11" x14ac:dyDescent="0.35">
      <c r="A111" s="16">
        <v>862046</v>
      </c>
      <c r="B111" s="16" t="s">
        <v>36</v>
      </c>
      <c r="C111" s="17">
        <v>64.45</v>
      </c>
      <c r="D111" s="17">
        <v>0</v>
      </c>
      <c r="E111" s="17">
        <v>628.27</v>
      </c>
      <c r="F111" s="17">
        <v>1035</v>
      </c>
      <c r="G111" s="17">
        <v>0</v>
      </c>
      <c r="H111" s="17">
        <v>0</v>
      </c>
      <c r="I111" s="17">
        <v>0</v>
      </c>
      <c r="J111" s="17">
        <v>1727.72</v>
      </c>
      <c r="K111" s="16" t="s">
        <v>48</v>
      </c>
    </row>
    <row r="112" spans="1:11" x14ac:dyDescent="0.35">
      <c r="A112" s="16">
        <v>478983</v>
      </c>
      <c r="B112" s="16" t="s">
        <v>33</v>
      </c>
      <c r="C112" s="17">
        <v>70.25</v>
      </c>
      <c r="D112" s="17">
        <v>0</v>
      </c>
      <c r="E112" s="17">
        <v>1620</v>
      </c>
      <c r="F112" s="17">
        <v>0</v>
      </c>
      <c r="G112" s="17">
        <v>0</v>
      </c>
      <c r="H112" s="17">
        <v>0</v>
      </c>
      <c r="I112" s="17">
        <v>0</v>
      </c>
      <c r="J112" s="17">
        <v>1690.25</v>
      </c>
      <c r="K112" s="16" t="s">
        <v>49</v>
      </c>
    </row>
    <row r="113" spans="1:11" x14ac:dyDescent="0.35">
      <c r="A113" s="16">
        <v>604144</v>
      </c>
      <c r="B113" s="16" t="s">
        <v>33</v>
      </c>
      <c r="C113" s="17">
        <v>70.06</v>
      </c>
      <c r="D113" s="17">
        <v>0</v>
      </c>
      <c r="E113" s="17">
        <v>1605.01</v>
      </c>
      <c r="F113" s="17">
        <v>0</v>
      </c>
      <c r="G113" s="17">
        <v>0</v>
      </c>
      <c r="H113" s="17">
        <v>0</v>
      </c>
      <c r="I113" s="17">
        <v>0</v>
      </c>
      <c r="J113" s="17">
        <v>1675.07</v>
      </c>
      <c r="K113" s="16" t="s">
        <v>49</v>
      </c>
    </row>
    <row r="114" spans="1:11" x14ac:dyDescent="0.35">
      <c r="A114" s="16">
        <v>478047</v>
      </c>
      <c r="B114" s="16"/>
      <c r="C114" s="17">
        <v>1664.08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1664.08</v>
      </c>
      <c r="K114" s="16" t="s">
        <v>48</v>
      </c>
    </row>
    <row r="115" spans="1:11" x14ac:dyDescent="0.35">
      <c r="A115" s="16">
        <v>487835</v>
      </c>
      <c r="B115" s="16"/>
      <c r="C115" s="17">
        <v>69.599999999999994</v>
      </c>
      <c r="D115" s="17">
        <v>0</v>
      </c>
      <c r="E115" s="17">
        <v>1568.22</v>
      </c>
      <c r="F115" s="17">
        <v>0</v>
      </c>
      <c r="G115" s="17">
        <v>0</v>
      </c>
      <c r="H115" s="17">
        <v>0</v>
      </c>
      <c r="I115" s="17">
        <v>0</v>
      </c>
      <c r="J115" s="17">
        <v>1637.82</v>
      </c>
      <c r="K115" s="16" t="s">
        <v>49</v>
      </c>
    </row>
    <row r="116" spans="1:11" x14ac:dyDescent="0.35">
      <c r="A116" s="16">
        <v>478939</v>
      </c>
      <c r="B116" s="16"/>
      <c r="C116" s="17">
        <v>68.680000000000007</v>
      </c>
      <c r="D116" s="17">
        <v>0</v>
      </c>
      <c r="E116" s="17">
        <v>1494.75</v>
      </c>
      <c r="F116" s="17">
        <v>0</v>
      </c>
      <c r="G116" s="17">
        <v>0</v>
      </c>
      <c r="H116" s="17">
        <v>0</v>
      </c>
      <c r="I116" s="17">
        <v>0</v>
      </c>
      <c r="J116" s="17">
        <v>1563.43</v>
      </c>
      <c r="K116" s="16" t="s">
        <v>49</v>
      </c>
    </row>
    <row r="117" spans="1:11" x14ac:dyDescent="0.35">
      <c r="A117" s="16">
        <v>476311</v>
      </c>
      <c r="B117" s="16"/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1502.71</v>
      </c>
      <c r="J117" s="17">
        <v>1502.71</v>
      </c>
      <c r="K117" s="16" t="s">
        <v>48</v>
      </c>
    </row>
    <row r="118" spans="1:11" x14ac:dyDescent="0.35">
      <c r="A118" s="16">
        <v>478928</v>
      </c>
      <c r="B118" s="16" t="s">
        <v>33</v>
      </c>
      <c r="C118" s="17">
        <v>67.760000000000005</v>
      </c>
      <c r="D118" s="17">
        <v>0</v>
      </c>
      <c r="E118" s="17">
        <v>1420.47</v>
      </c>
      <c r="F118" s="17">
        <v>0</v>
      </c>
      <c r="G118" s="17">
        <v>0</v>
      </c>
      <c r="H118" s="17">
        <v>0</v>
      </c>
      <c r="I118" s="17">
        <v>0</v>
      </c>
      <c r="J118" s="17">
        <v>1488.23</v>
      </c>
      <c r="K118" s="16" t="s">
        <v>49</v>
      </c>
    </row>
    <row r="119" spans="1:11" x14ac:dyDescent="0.35">
      <c r="A119" s="16">
        <v>474977</v>
      </c>
      <c r="B119" s="16"/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1485.81</v>
      </c>
      <c r="J119" s="17">
        <v>1485.81</v>
      </c>
      <c r="K119" s="16" t="s">
        <v>48</v>
      </c>
    </row>
    <row r="120" spans="1:11" x14ac:dyDescent="0.35">
      <c r="A120" s="16">
        <v>474537</v>
      </c>
      <c r="B120" s="16"/>
      <c r="C120" s="17">
        <v>67.56</v>
      </c>
      <c r="D120" s="17">
        <v>0</v>
      </c>
      <c r="E120" s="17">
        <v>1404.95</v>
      </c>
      <c r="F120" s="17">
        <v>0</v>
      </c>
      <c r="G120" s="17">
        <v>0</v>
      </c>
      <c r="H120" s="17">
        <v>0</v>
      </c>
      <c r="I120" s="17">
        <v>0</v>
      </c>
      <c r="J120" s="17">
        <v>1472.51</v>
      </c>
      <c r="K120" s="16" t="s">
        <v>49</v>
      </c>
    </row>
    <row r="121" spans="1:11" x14ac:dyDescent="0.35">
      <c r="A121" s="16">
        <v>760556</v>
      </c>
      <c r="B121" s="16" t="s">
        <v>33</v>
      </c>
      <c r="C121" s="17">
        <v>67.489999999999995</v>
      </c>
      <c r="D121" s="17">
        <v>0</v>
      </c>
      <c r="E121" s="17">
        <v>1399.1</v>
      </c>
      <c r="F121" s="17">
        <v>0</v>
      </c>
      <c r="G121" s="17">
        <v>0</v>
      </c>
      <c r="H121" s="17">
        <v>0</v>
      </c>
      <c r="I121" s="17">
        <v>0</v>
      </c>
      <c r="J121" s="17">
        <v>1466.59</v>
      </c>
      <c r="K121" s="16" t="s">
        <v>48</v>
      </c>
    </row>
    <row r="122" spans="1:11" x14ac:dyDescent="0.35">
      <c r="A122" s="16">
        <v>801537</v>
      </c>
      <c r="B122" s="16" t="s">
        <v>33</v>
      </c>
      <c r="C122" s="17">
        <v>67.319999999999993</v>
      </c>
      <c r="D122" s="17">
        <v>0</v>
      </c>
      <c r="E122" s="17">
        <v>1386</v>
      </c>
      <c r="F122" s="17">
        <v>0</v>
      </c>
      <c r="G122" s="17">
        <v>0</v>
      </c>
      <c r="H122" s="17">
        <v>0</v>
      </c>
      <c r="I122" s="17">
        <v>0</v>
      </c>
      <c r="J122" s="17">
        <v>1453.32</v>
      </c>
      <c r="K122" s="16" t="s">
        <v>48</v>
      </c>
    </row>
    <row r="123" spans="1:11" x14ac:dyDescent="0.35">
      <c r="A123" s="16">
        <v>479001</v>
      </c>
      <c r="B123" s="16"/>
      <c r="C123" s="17">
        <v>67.25</v>
      </c>
      <c r="D123" s="17">
        <v>0</v>
      </c>
      <c r="E123" s="17">
        <v>1380.33</v>
      </c>
      <c r="F123" s="17">
        <v>0</v>
      </c>
      <c r="G123" s="17">
        <v>0</v>
      </c>
      <c r="H123" s="17">
        <v>0</v>
      </c>
      <c r="I123" s="17">
        <v>0</v>
      </c>
      <c r="J123" s="17">
        <v>1447.58</v>
      </c>
      <c r="K123" s="16" t="s">
        <v>49</v>
      </c>
    </row>
    <row r="124" spans="1:11" x14ac:dyDescent="0.35">
      <c r="A124" s="16">
        <v>518515</v>
      </c>
      <c r="B124" s="16" t="s">
        <v>33</v>
      </c>
      <c r="C124" s="17">
        <v>67.14</v>
      </c>
      <c r="D124" s="17">
        <v>0</v>
      </c>
      <c r="E124" s="17">
        <v>1371.51</v>
      </c>
      <c r="F124" s="17">
        <v>0</v>
      </c>
      <c r="G124" s="17">
        <v>0</v>
      </c>
      <c r="H124" s="17">
        <v>0</v>
      </c>
      <c r="I124" s="17">
        <v>0</v>
      </c>
      <c r="J124" s="17">
        <v>1438.65</v>
      </c>
      <c r="K124" s="16" t="s">
        <v>49</v>
      </c>
    </row>
    <row r="125" spans="1:11" x14ac:dyDescent="0.35">
      <c r="A125" s="16">
        <v>883293</v>
      </c>
      <c r="B125" s="16"/>
      <c r="C125" s="17">
        <v>1410.64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1410.64</v>
      </c>
      <c r="K125" s="16" t="s">
        <v>48</v>
      </c>
    </row>
    <row r="126" spans="1:11" x14ac:dyDescent="0.35">
      <c r="A126" s="16">
        <v>476812</v>
      </c>
      <c r="B126" s="16" t="s">
        <v>33</v>
      </c>
      <c r="C126" s="17">
        <v>66.66</v>
      </c>
      <c r="D126" s="17">
        <v>0</v>
      </c>
      <c r="E126" s="17">
        <v>1332.42</v>
      </c>
      <c r="F126" s="17">
        <v>0</v>
      </c>
      <c r="G126" s="17">
        <v>0</v>
      </c>
      <c r="H126" s="17">
        <v>0</v>
      </c>
      <c r="I126" s="17">
        <v>0</v>
      </c>
      <c r="J126" s="17">
        <v>1399.08</v>
      </c>
      <c r="K126" s="16" t="s">
        <v>48</v>
      </c>
    </row>
    <row r="127" spans="1:11" x14ac:dyDescent="0.35">
      <c r="A127" s="16">
        <v>604147</v>
      </c>
      <c r="B127" s="16"/>
      <c r="C127" s="17">
        <v>0</v>
      </c>
      <c r="D127" s="17">
        <v>0</v>
      </c>
      <c r="E127" s="17">
        <v>800.62</v>
      </c>
      <c r="F127" s="17">
        <v>0</v>
      </c>
      <c r="G127" s="17">
        <v>0</v>
      </c>
      <c r="H127" s="17">
        <v>0</v>
      </c>
      <c r="I127" s="17">
        <v>546.64</v>
      </c>
      <c r="J127" s="17">
        <v>1347.26</v>
      </c>
      <c r="K127" s="16" t="s">
        <v>48</v>
      </c>
    </row>
    <row r="128" spans="1:11" x14ac:dyDescent="0.35">
      <c r="A128" s="16">
        <v>474664</v>
      </c>
      <c r="B128" s="16"/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1331.44</v>
      </c>
      <c r="J128" s="17">
        <v>1331.44</v>
      </c>
      <c r="K128" s="16" t="s">
        <v>48</v>
      </c>
    </row>
    <row r="129" spans="1:11" x14ac:dyDescent="0.35">
      <c r="A129" s="16">
        <v>475161</v>
      </c>
      <c r="B129" s="16" t="s">
        <v>33</v>
      </c>
      <c r="C129" s="17">
        <v>65.430000000000007</v>
      </c>
      <c r="D129" s="17">
        <v>0</v>
      </c>
      <c r="E129" s="17">
        <v>1234.05</v>
      </c>
      <c r="F129" s="17">
        <v>0</v>
      </c>
      <c r="G129" s="17">
        <v>0</v>
      </c>
      <c r="H129" s="17">
        <v>0</v>
      </c>
      <c r="I129" s="17">
        <v>0</v>
      </c>
      <c r="J129" s="17">
        <v>1299.48</v>
      </c>
      <c r="K129" s="16" t="s">
        <v>48</v>
      </c>
    </row>
    <row r="130" spans="1:11" x14ac:dyDescent="0.35">
      <c r="A130" s="16">
        <v>592378</v>
      </c>
      <c r="B130" s="16" t="s">
        <v>33</v>
      </c>
      <c r="C130" s="17">
        <v>65.34</v>
      </c>
      <c r="D130" s="17">
        <v>0</v>
      </c>
      <c r="E130" s="17">
        <v>1227.06</v>
      </c>
      <c r="F130" s="17">
        <v>0</v>
      </c>
      <c r="G130" s="17">
        <v>0</v>
      </c>
      <c r="H130" s="17">
        <v>0</v>
      </c>
      <c r="I130" s="17">
        <v>0</v>
      </c>
      <c r="J130" s="17">
        <v>1292.4000000000001</v>
      </c>
      <c r="K130" s="16" t="s">
        <v>48</v>
      </c>
    </row>
    <row r="131" spans="1:11" x14ac:dyDescent="0.35">
      <c r="A131" s="16">
        <v>478291</v>
      </c>
      <c r="B131" s="16"/>
      <c r="C131" s="17">
        <v>65.319999999999993</v>
      </c>
      <c r="D131" s="17">
        <v>0</v>
      </c>
      <c r="E131" s="17">
        <v>1225.92</v>
      </c>
      <c r="F131" s="17">
        <v>0</v>
      </c>
      <c r="G131" s="17">
        <v>0</v>
      </c>
      <c r="H131" s="17">
        <v>0</v>
      </c>
      <c r="I131" s="17">
        <v>0</v>
      </c>
      <c r="J131" s="17">
        <v>1291.24</v>
      </c>
      <c r="K131" s="16" t="s">
        <v>48</v>
      </c>
    </row>
    <row r="132" spans="1:11" x14ac:dyDescent="0.35">
      <c r="A132" s="16">
        <v>475203</v>
      </c>
      <c r="B132" s="16"/>
      <c r="C132" s="17">
        <v>65.3</v>
      </c>
      <c r="D132" s="17">
        <v>0</v>
      </c>
      <c r="E132" s="17">
        <v>1224</v>
      </c>
      <c r="F132" s="17">
        <v>0</v>
      </c>
      <c r="G132" s="17">
        <v>0</v>
      </c>
      <c r="H132" s="17">
        <v>0</v>
      </c>
      <c r="I132" s="17">
        <v>0</v>
      </c>
      <c r="J132" s="17">
        <v>1289.3</v>
      </c>
      <c r="K132" s="16" t="s">
        <v>48</v>
      </c>
    </row>
    <row r="133" spans="1:11" x14ac:dyDescent="0.35">
      <c r="A133" s="16">
        <v>479776</v>
      </c>
      <c r="B133" s="16"/>
      <c r="C133" s="17">
        <v>65.239999999999995</v>
      </c>
      <c r="D133" s="17">
        <v>0</v>
      </c>
      <c r="E133" s="17">
        <v>1218.83</v>
      </c>
      <c r="F133" s="17">
        <v>0</v>
      </c>
      <c r="G133" s="17">
        <v>0</v>
      </c>
      <c r="H133" s="17">
        <v>0</v>
      </c>
      <c r="I133" s="17">
        <v>0</v>
      </c>
      <c r="J133" s="17">
        <v>1284.07</v>
      </c>
      <c r="K133" s="16" t="s">
        <v>48</v>
      </c>
    </row>
    <row r="134" spans="1:11" x14ac:dyDescent="0.35">
      <c r="A134" s="16">
        <v>478606</v>
      </c>
      <c r="B134" s="16" t="s">
        <v>33</v>
      </c>
      <c r="C134" s="17">
        <v>65.14</v>
      </c>
      <c r="D134" s="17">
        <v>0</v>
      </c>
      <c r="E134" s="17">
        <v>1211.04</v>
      </c>
      <c r="F134" s="17">
        <v>0</v>
      </c>
      <c r="G134" s="17">
        <v>0</v>
      </c>
      <c r="H134" s="17">
        <v>0</v>
      </c>
      <c r="I134" s="17">
        <v>0</v>
      </c>
      <c r="J134" s="17">
        <v>1276.18</v>
      </c>
      <c r="K134" s="16" t="s">
        <v>48</v>
      </c>
    </row>
    <row r="135" spans="1:11" x14ac:dyDescent="0.35">
      <c r="A135" s="16">
        <v>478394</v>
      </c>
      <c r="B135" s="16" t="s">
        <v>33</v>
      </c>
      <c r="C135" s="17">
        <v>65.08</v>
      </c>
      <c r="D135" s="17">
        <v>0</v>
      </c>
      <c r="E135" s="17">
        <v>1206</v>
      </c>
      <c r="F135" s="17">
        <v>0</v>
      </c>
      <c r="G135" s="17">
        <v>0</v>
      </c>
      <c r="H135" s="17">
        <v>0</v>
      </c>
      <c r="I135" s="17">
        <v>0</v>
      </c>
      <c r="J135" s="17">
        <v>1271.08</v>
      </c>
      <c r="K135" s="16" t="s">
        <v>48</v>
      </c>
    </row>
    <row r="136" spans="1:11" x14ac:dyDescent="0.35">
      <c r="A136" s="16">
        <v>478269</v>
      </c>
      <c r="B136" s="16"/>
      <c r="C136" s="17">
        <v>65</v>
      </c>
      <c r="D136" s="17">
        <v>0</v>
      </c>
      <c r="E136" s="17">
        <v>1199.81</v>
      </c>
      <c r="F136" s="17">
        <v>0</v>
      </c>
      <c r="G136" s="17">
        <v>0</v>
      </c>
      <c r="H136" s="17">
        <v>0</v>
      </c>
      <c r="I136" s="17">
        <v>0</v>
      </c>
      <c r="J136" s="17">
        <v>1264.81</v>
      </c>
      <c r="K136" s="16" t="s">
        <v>48</v>
      </c>
    </row>
    <row r="137" spans="1:11" x14ac:dyDescent="0.35">
      <c r="A137" s="16">
        <v>476595</v>
      </c>
      <c r="B137" s="16" t="s">
        <v>33</v>
      </c>
      <c r="C137" s="17">
        <v>64.150000000000006</v>
      </c>
      <c r="D137" s="17">
        <v>0</v>
      </c>
      <c r="E137" s="17">
        <v>1132.31</v>
      </c>
      <c r="F137" s="17">
        <v>0</v>
      </c>
      <c r="G137" s="17">
        <v>0</v>
      </c>
      <c r="H137" s="17">
        <v>0</v>
      </c>
      <c r="I137" s="17">
        <v>62.84</v>
      </c>
      <c r="J137" s="17">
        <v>1259.3</v>
      </c>
      <c r="K137" s="16" t="s">
        <v>48</v>
      </c>
    </row>
    <row r="138" spans="1:11" x14ac:dyDescent="0.35">
      <c r="A138" s="16">
        <v>476748</v>
      </c>
      <c r="B138" s="16" t="s">
        <v>33</v>
      </c>
      <c r="C138" s="17">
        <v>60.37</v>
      </c>
      <c r="D138" s="17">
        <v>0</v>
      </c>
      <c r="E138" s="17">
        <v>829.23</v>
      </c>
      <c r="F138" s="17">
        <v>0</v>
      </c>
      <c r="G138" s="17">
        <v>0</v>
      </c>
      <c r="H138" s="17">
        <v>0</v>
      </c>
      <c r="I138" s="17">
        <v>367.49</v>
      </c>
      <c r="J138" s="17">
        <v>1257.0899999999999</v>
      </c>
      <c r="K138" s="16" t="s">
        <v>48</v>
      </c>
    </row>
    <row r="139" spans="1:11" x14ac:dyDescent="0.35">
      <c r="A139" s="16">
        <v>819588</v>
      </c>
      <c r="B139" s="16"/>
      <c r="C139" s="17">
        <v>64.900000000000006</v>
      </c>
      <c r="D139" s="17">
        <v>0</v>
      </c>
      <c r="E139" s="17">
        <v>1191.9000000000001</v>
      </c>
      <c r="F139" s="17">
        <v>0</v>
      </c>
      <c r="G139" s="17">
        <v>0</v>
      </c>
      <c r="H139" s="17">
        <v>0</v>
      </c>
      <c r="I139" s="17">
        <v>0</v>
      </c>
      <c r="J139" s="17">
        <v>1256.8</v>
      </c>
      <c r="K139" s="16" t="s">
        <v>48</v>
      </c>
    </row>
    <row r="140" spans="1:11" x14ac:dyDescent="0.35">
      <c r="A140" s="16">
        <v>477822</v>
      </c>
      <c r="B140" s="16" t="s">
        <v>33</v>
      </c>
      <c r="C140" s="17">
        <v>64.3</v>
      </c>
      <c r="D140" s="17">
        <v>0</v>
      </c>
      <c r="E140" s="17">
        <v>1144.04</v>
      </c>
      <c r="F140" s="17">
        <v>0</v>
      </c>
      <c r="G140" s="17">
        <v>0</v>
      </c>
      <c r="H140" s="17">
        <v>0</v>
      </c>
      <c r="I140" s="17">
        <v>0</v>
      </c>
      <c r="J140" s="17">
        <v>1208.3399999999999</v>
      </c>
      <c r="K140" s="16" t="s">
        <v>48</v>
      </c>
    </row>
    <row r="141" spans="1:11" x14ac:dyDescent="0.35">
      <c r="A141" s="16">
        <v>476023</v>
      </c>
      <c r="B141" s="16"/>
      <c r="C141" s="17">
        <v>50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1152.27</v>
      </c>
      <c r="J141" s="17">
        <v>1202.27</v>
      </c>
      <c r="K141" s="16" t="s">
        <v>48</v>
      </c>
    </row>
    <row r="142" spans="1:11" x14ac:dyDescent="0.35">
      <c r="A142" s="16">
        <v>477670</v>
      </c>
      <c r="B142" s="16" t="s">
        <v>33</v>
      </c>
      <c r="C142" s="17">
        <v>64.2</v>
      </c>
      <c r="D142" s="17">
        <v>0</v>
      </c>
      <c r="E142" s="17">
        <v>1135.82</v>
      </c>
      <c r="F142" s="17">
        <v>0</v>
      </c>
      <c r="G142" s="17">
        <v>0</v>
      </c>
      <c r="H142" s="17">
        <v>0</v>
      </c>
      <c r="I142" s="17">
        <v>0</v>
      </c>
      <c r="J142" s="17">
        <v>1200.02</v>
      </c>
      <c r="K142" s="16" t="s">
        <v>48</v>
      </c>
    </row>
    <row r="143" spans="1:11" x14ac:dyDescent="0.35">
      <c r="A143" s="16">
        <v>478732</v>
      </c>
      <c r="B143" s="16" t="s">
        <v>33</v>
      </c>
      <c r="C143" s="17">
        <v>64.08</v>
      </c>
      <c r="D143" s="17">
        <v>0</v>
      </c>
      <c r="E143" s="17">
        <v>1126.17</v>
      </c>
      <c r="F143" s="17">
        <v>0</v>
      </c>
      <c r="G143" s="17">
        <v>0</v>
      </c>
      <c r="H143" s="17">
        <v>0</v>
      </c>
      <c r="I143" s="17">
        <v>0</v>
      </c>
      <c r="J143" s="17">
        <v>1190.25</v>
      </c>
      <c r="K143" s="16" t="s">
        <v>48</v>
      </c>
    </row>
    <row r="144" spans="1:11" x14ac:dyDescent="0.35">
      <c r="A144" s="16">
        <v>478996</v>
      </c>
      <c r="B144" s="16" t="s">
        <v>33</v>
      </c>
      <c r="C144" s="17">
        <v>63.96</v>
      </c>
      <c r="D144" s="17">
        <v>0</v>
      </c>
      <c r="E144" s="17">
        <v>1117.0899999999999</v>
      </c>
      <c r="F144" s="17">
        <v>0</v>
      </c>
      <c r="G144" s="17">
        <v>0</v>
      </c>
      <c r="H144" s="17">
        <v>0</v>
      </c>
      <c r="I144" s="17">
        <v>0</v>
      </c>
      <c r="J144" s="17">
        <v>1181.05</v>
      </c>
      <c r="K144" s="16" t="s">
        <v>49</v>
      </c>
    </row>
    <row r="145" spans="1:11" x14ac:dyDescent="0.35">
      <c r="A145" s="16">
        <v>477666</v>
      </c>
      <c r="B145" s="16" t="s">
        <v>33</v>
      </c>
      <c r="C145" s="17">
        <v>63.88</v>
      </c>
      <c r="D145" s="17">
        <v>0</v>
      </c>
      <c r="E145" s="17">
        <v>1110.29</v>
      </c>
      <c r="F145" s="17">
        <v>0</v>
      </c>
      <c r="G145" s="17">
        <v>0</v>
      </c>
      <c r="H145" s="17">
        <v>0</v>
      </c>
      <c r="I145" s="17">
        <v>0</v>
      </c>
      <c r="J145" s="17">
        <v>1174.17</v>
      </c>
      <c r="K145" s="16" t="s">
        <v>48</v>
      </c>
    </row>
    <row r="146" spans="1:11" x14ac:dyDescent="0.35">
      <c r="A146" s="16">
        <v>476654</v>
      </c>
      <c r="B146" s="16" t="s">
        <v>33</v>
      </c>
      <c r="C146" s="17">
        <v>63.7</v>
      </c>
      <c r="D146" s="17">
        <v>0</v>
      </c>
      <c r="E146" s="17">
        <v>1095.9100000000001</v>
      </c>
      <c r="F146" s="17">
        <v>0</v>
      </c>
      <c r="G146" s="17">
        <v>0</v>
      </c>
      <c r="H146" s="17">
        <v>0</v>
      </c>
      <c r="I146" s="17">
        <v>0</v>
      </c>
      <c r="J146" s="17">
        <v>1159.6099999999999</v>
      </c>
      <c r="K146" s="16" t="s">
        <v>48</v>
      </c>
    </row>
    <row r="147" spans="1:11" x14ac:dyDescent="0.35">
      <c r="A147" s="16">
        <v>478647</v>
      </c>
      <c r="B147" s="16" t="s">
        <v>33</v>
      </c>
      <c r="C147" s="17">
        <v>61.41</v>
      </c>
      <c r="D147" s="17">
        <v>0</v>
      </c>
      <c r="E147" s="17">
        <v>912.85</v>
      </c>
      <c r="F147" s="17">
        <v>0</v>
      </c>
      <c r="G147" s="17">
        <v>0</v>
      </c>
      <c r="H147" s="17">
        <v>0</v>
      </c>
      <c r="I147" s="17">
        <v>184.78</v>
      </c>
      <c r="J147" s="17">
        <v>1159.04</v>
      </c>
      <c r="K147" s="16" t="s">
        <v>48</v>
      </c>
    </row>
    <row r="148" spans="1:11" x14ac:dyDescent="0.35">
      <c r="A148" s="16">
        <v>478129</v>
      </c>
      <c r="B148" s="16" t="s">
        <v>33</v>
      </c>
      <c r="C148" s="17">
        <v>63.67</v>
      </c>
      <c r="D148" s="17">
        <v>0</v>
      </c>
      <c r="E148" s="17">
        <v>1093.28</v>
      </c>
      <c r="F148" s="17">
        <v>0</v>
      </c>
      <c r="G148" s="17">
        <v>0</v>
      </c>
      <c r="H148" s="17">
        <v>0</v>
      </c>
      <c r="I148" s="17">
        <v>0</v>
      </c>
      <c r="J148" s="17">
        <v>1156.95</v>
      </c>
      <c r="K148" s="16" t="s">
        <v>48</v>
      </c>
    </row>
    <row r="149" spans="1:11" x14ac:dyDescent="0.35">
      <c r="A149" s="16">
        <v>476793</v>
      </c>
      <c r="B149" s="16"/>
      <c r="C149" s="17">
        <v>63.63</v>
      </c>
      <c r="D149" s="17">
        <v>0</v>
      </c>
      <c r="E149" s="17">
        <v>1090.0899999999999</v>
      </c>
      <c r="F149" s="17">
        <v>0</v>
      </c>
      <c r="G149" s="17">
        <v>0</v>
      </c>
      <c r="H149" s="17">
        <v>0</v>
      </c>
      <c r="I149" s="17">
        <v>0</v>
      </c>
      <c r="J149" s="17">
        <v>1153.72</v>
      </c>
      <c r="K149" s="16" t="s">
        <v>48</v>
      </c>
    </row>
    <row r="150" spans="1:11" x14ac:dyDescent="0.35">
      <c r="A150" s="16">
        <v>479639</v>
      </c>
      <c r="B150" s="16" t="s">
        <v>33</v>
      </c>
      <c r="C150" s="17">
        <v>63.62</v>
      </c>
      <c r="D150" s="17">
        <v>0</v>
      </c>
      <c r="E150" s="17">
        <v>1089.7</v>
      </c>
      <c r="F150" s="17">
        <v>0</v>
      </c>
      <c r="G150" s="17">
        <v>0</v>
      </c>
      <c r="H150" s="17">
        <v>0</v>
      </c>
      <c r="I150" s="17">
        <v>0</v>
      </c>
      <c r="J150" s="17">
        <v>1153.32</v>
      </c>
      <c r="K150" s="16" t="s">
        <v>48</v>
      </c>
    </row>
    <row r="151" spans="1:11" x14ac:dyDescent="0.35">
      <c r="A151" s="16">
        <v>478124</v>
      </c>
      <c r="B151" s="16"/>
      <c r="C151" s="17">
        <v>63.53</v>
      </c>
      <c r="D151" s="17">
        <v>0</v>
      </c>
      <c r="E151" s="17">
        <v>1082.08</v>
      </c>
      <c r="F151" s="17">
        <v>0</v>
      </c>
      <c r="G151" s="17">
        <v>0</v>
      </c>
      <c r="H151" s="17">
        <v>0</v>
      </c>
      <c r="I151" s="17">
        <v>0</v>
      </c>
      <c r="J151" s="17">
        <v>1145.6099999999999</v>
      </c>
      <c r="K151" s="16" t="s">
        <v>48</v>
      </c>
    </row>
    <row r="152" spans="1:11" x14ac:dyDescent="0.35">
      <c r="A152" s="16">
        <v>476569</v>
      </c>
      <c r="B152" s="16" t="s">
        <v>33</v>
      </c>
      <c r="C152" s="17">
        <v>63.49</v>
      </c>
      <c r="D152" s="17">
        <v>0</v>
      </c>
      <c r="E152" s="17">
        <v>1079.44</v>
      </c>
      <c r="F152" s="17">
        <v>0</v>
      </c>
      <c r="G152" s="17">
        <v>0</v>
      </c>
      <c r="H152" s="17">
        <v>0</v>
      </c>
      <c r="I152" s="17">
        <v>0</v>
      </c>
      <c r="J152" s="17">
        <v>1142.93</v>
      </c>
      <c r="K152" s="16" t="s">
        <v>48</v>
      </c>
    </row>
    <row r="153" spans="1:11" x14ac:dyDescent="0.35">
      <c r="A153" s="16">
        <v>478472</v>
      </c>
      <c r="B153" s="16" t="s">
        <v>33</v>
      </c>
      <c r="C153" s="17">
        <v>63.4</v>
      </c>
      <c r="D153" s="17">
        <v>0</v>
      </c>
      <c r="E153" s="17">
        <v>1072.0999999999999</v>
      </c>
      <c r="F153" s="17">
        <v>0</v>
      </c>
      <c r="G153" s="17">
        <v>0</v>
      </c>
      <c r="H153" s="17">
        <v>0</v>
      </c>
      <c r="I153" s="17">
        <v>0</v>
      </c>
      <c r="J153" s="17">
        <v>1135.5</v>
      </c>
      <c r="K153" s="16" t="s">
        <v>48</v>
      </c>
    </row>
    <row r="154" spans="1:11" x14ac:dyDescent="0.35">
      <c r="A154" s="16">
        <v>476499</v>
      </c>
      <c r="B154" s="16" t="s">
        <v>33</v>
      </c>
      <c r="C154" s="17">
        <v>56.07</v>
      </c>
      <c r="D154" s="17">
        <v>0</v>
      </c>
      <c r="E154" s="17">
        <v>485.69</v>
      </c>
      <c r="F154" s="17">
        <v>0</v>
      </c>
      <c r="G154" s="17">
        <v>0</v>
      </c>
      <c r="H154" s="17">
        <v>0</v>
      </c>
      <c r="I154" s="17">
        <v>592.83000000000004</v>
      </c>
      <c r="J154" s="17">
        <v>1134.5899999999999</v>
      </c>
      <c r="K154" s="16" t="s">
        <v>48</v>
      </c>
    </row>
    <row r="155" spans="1:11" x14ac:dyDescent="0.35">
      <c r="A155" s="16">
        <v>476616</v>
      </c>
      <c r="B155" s="16" t="s">
        <v>33</v>
      </c>
      <c r="C155" s="17">
        <v>63.32</v>
      </c>
      <c r="D155" s="17">
        <v>0</v>
      </c>
      <c r="E155" s="17">
        <v>1065.9000000000001</v>
      </c>
      <c r="F155" s="17">
        <v>0</v>
      </c>
      <c r="G155" s="17">
        <v>0</v>
      </c>
      <c r="H155" s="17">
        <v>0</v>
      </c>
      <c r="I155" s="17">
        <v>0</v>
      </c>
      <c r="J155" s="17">
        <v>1129.22</v>
      </c>
      <c r="K155" s="16" t="s">
        <v>48</v>
      </c>
    </row>
    <row r="156" spans="1:11" x14ac:dyDescent="0.35">
      <c r="A156" s="16">
        <v>612440</v>
      </c>
      <c r="B156" s="16" t="s">
        <v>33</v>
      </c>
      <c r="C156" s="17">
        <v>63.3</v>
      </c>
      <c r="D156" s="17">
        <v>0</v>
      </c>
      <c r="E156" s="17">
        <v>1064.27</v>
      </c>
      <c r="F156" s="17">
        <v>0</v>
      </c>
      <c r="G156" s="17">
        <v>0</v>
      </c>
      <c r="H156" s="17">
        <v>0</v>
      </c>
      <c r="I156" s="17">
        <v>0</v>
      </c>
      <c r="J156" s="17">
        <v>1127.57</v>
      </c>
      <c r="K156" s="16" t="s">
        <v>48</v>
      </c>
    </row>
    <row r="157" spans="1:11" x14ac:dyDescent="0.35">
      <c r="A157" s="16">
        <v>476839</v>
      </c>
      <c r="B157" s="16" t="s">
        <v>33</v>
      </c>
      <c r="C157" s="17">
        <v>60.08</v>
      </c>
      <c r="D157" s="17">
        <v>0</v>
      </c>
      <c r="E157" s="17">
        <v>806.2</v>
      </c>
      <c r="F157" s="17">
        <v>0</v>
      </c>
      <c r="G157" s="17">
        <v>0</v>
      </c>
      <c r="H157" s="17">
        <v>0</v>
      </c>
      <c r="I157" s="17">
        <v>249.6</v>
      </c>
      <c r="J157" s="17">
        <v>1115.8800000000001</v>
      </c>
      <c r="K157" s="16" t="s">
        <v>48</v>
      </c>
    </row>
    <row r="158" spans="1:11" x14ac:dyDescent="0.35">
      <c r="A158" s="16">
        <v>476394</v>
      </c>
      <c r="B158" s="16" t="s">
        <v>33</v>
      </c>
      <c r="C158" s="17">
        <v>63.14</v>
      </c>
      <c r="D158" s="17">
        <v>0</v>
      </c>
      <c r="E158" s="17">
        <v>1051.2</v>
      </c>
      <c r="F158" s="17">
        <v>0</v>
      </c>
      <c r="G158" s="17">
        <v>0</v>
      </c>
      <c r="H158" s="17">
        <v>0</v>
      </c>
      <c r="I158" s="17">
        <v>0</v>
      </c>
      <c r="J158" s="17">
        <v>1114.3399999999999</v>
      </c>
      <c r="K158" s="16" t="s">
        <v>48</v>
      </c>
    </row>
    <row r="159" spans="1:11" x14ac:dyDescent="0.35">
      <c r="A159" s="16">
        <v>476693</v>
      </c>
      <c r="B159" s="16"/>
      <c r="C159" s="17">
        <v>63.11</v>
      </c>
      <c r="D159" s="17">
        <v>0</v>
      </c>
      <c r="E159" s="17">
        <v>1048.57</v>
      </c>
      <c r="F159" s="17">
        <v>0</v>
      </c>
      <c r="G159" s="17">
        <v>0</v>
      </c>
      <c r="H159" s="17">
        <v>0</v>
      </c>
      <c r="I159" s="17">
        <v>0</v>
      </c>
      <c r="J159" s="17">
        <v>1111.68</v>
      </c>
      <c r="K159" s="16" t="s">
        <v>48</v>
      </c>
    </row>
    <row r="160" spans="1:11" x14ac:dyDescent="0.35">
      <c r="A160" s="16">
        <v>808203</v>
      </c>
      <c r="B160" s="16" t="s">
        <v>33</v>
      </c>
      <c r="C160" s="17">
        <v>63.09</v>
      </c>
      <c r="D160" s="17">
        <v>0</v>
      </c>
      <c r="E160" s="17">
        <v>1046.81</v>
      </c>
      <c r="F160" s="17">
        <v>0</v>
      </c>
      <c r="G160" s="17">
        <v>0</v>
      </c>
      <c r="H160" s="17">
        <v>0</v>
      </c>
      <c r="I160" s="17">
        <v>0</v>
      </c>
      <c r="J160" s="17">
        <v>1109.9000000000001</v>
      </c>
      <c r="K160" s="16" t="s">
        <v>48</v>
      </c>
    </row>
    <row r="161" spans="1:11" x14ac:dyDescent="0.35">
      <c r="A161" s="16">
        <v>475418</v>
      </c>
      <c r="B161" s="16"/>
      <c r="C161" s="17">
        <v>58.57</v>
      </c>
      <c r="D161" s="17">
        <v>0</v>
      </c>
      <c r="E161" s="17">
        <v>685.9</v>
      </c>
      <c r="F161" s="17">
        <v>0</v>
      </c>
      <c r="G161" s="17">
        <v>0</v>
      </c>
      <c r="H161" s="17">
        <v>0</v>
      </c>
      <c r="I161" s="17">
        <v>362.79</v>
      </c>
      <c r="J161" s="17">
        <v>1107.26</v>
      </c>
      <c r="K161" s="16" t="s">
        <v>48</v>
      </c>
    </row>
    <row r="162" spans="1:11" x14ac:dyDescent="0.35">
      <c r="A162" s="16">
        <v>640835</v>
      </c>
      <c r="B162" s="16" t="s">
        <v>33</v>
      </c>
      <c r="C162" s="17">
        <v>62.97</v>
      </c>
      <c r="D162" s="17">
        <v>0</v>
      </c>
      <c r="E162" s="17">
        <v>1037.57</v>
      </c>
      <c r="F162" s="17">
        <v>0</v>
      </c>
      <c r="G162" s="17">
        <v>0</v>
      </c>
      <c r="H162" s="17">
        <v>0</v>
      </c>
      <c r="I162" s="17">
        <v>0</v>
      </c>
      <c r="J162" s="17">
        <v>1100.54</v>
      </c>
      <c r="K162" s="16" t="s">
        <v>48</v>
      </c>
    </row>
    <row r="163" spans="1:11" x14ac:dyDescent="0.35">
      <c r="A163" s="16">
        <v>476645</v>
      </c>
      <c r="B163" s="16" t="s">
        <v>33</v>
      </c>
      <c r="C163" s="17">
        <v>62.91</v>
      </c>
      <c r="D163" s="17">
        <v>0</v>
      </c>
      <c r="E163" s="17">
        <v>1032.43</v>
      </c>
      <c r="F163" s="17">
        <v>0</v>
      </c>
      <c r="G163" s="17">
        <v>0</v>
      </c>
      <c r="H163" s="17">
        <v>0</v>
      </c>
      <c r="I163" s="17">
        <v>0</v>
      </c>
      <c r="J163" s="17">
        <v>1095.3399999999999</v>
      </c>
      <c r="K163" s="16" t="s">
        <v>48</v>
      </c>
    </row>
    <row r="164" spans="1:11" x14ac:dyDescent="0.35">
      <c r="A164" s="16">
        <v>476628</v>
      </c>
      <c r="B164" s="16" t="s">
        <v>33</v>
      </c>
      <c r="C164" s="17">
        <v>62.87</v>
      </c>
      <c r="D164" s="17">
        <v>0</v>
      </c>
      <c r="E164" s="17">
        <v>1029.5999999999999</v>
      </c>
      <c r="F164" s="17">
        <v>0</v>
      </c>
      <c r="G164" s="17">
        <v>0</v>
      </c>
      <c r="H164" s="17">
        <v>0</v>
      </c>
      <c r="I164" s="17">
        <v>0</v>
      </c>
      <c r="J164" s="17">
        <v>1092.47</v>
      </c>
      <c r="K164" s="16" t="s">
        <v>48</v>
      </c>
    </row>
    <row r="165" spans="1:11" x14ac:dyDescent="0.35">
      <c r="A165" s="16">
        <v>477970</v>
      </c>
      <c r="B165" s="16" t="s">
        <v>33</v>
      </c>
      <c r="C165" s="17">
        <v>60.99</v>
      </c>
      <c r="D165" s="17">
        <v>36.409999999999997</v>
      </c>
      <c r="E165" s="17">
        <v>878.95</v>
      </c>
      <c r="F165" s="17">
        <v>0</v>
      </c>
      <c r="G165" s="17">
        <v>0</v>
      </c>
      <c r="H165" s="17">
        <v>0</v>
      </c>
      <c r="I165" s="17">
        <v>112.3</v>
      </c>
      <c r="J165" s="17">
        <v>1088.6500000000001</v>
      </c>
      <c r="K165" s="16" t="s">
        <v>48</v>
      </c>
    </row>
    <row r="166" spans="1:11" x14ac:dyDescent="0.35">
      <c r="A166" s="16">
        <v>478673</v>
      </c>
      <c r="B166" s="16" t="s">
        <v>33</v>
      </c>
      <c r="C166" s="17">
        <v>62.82</v>
      </c>
      <c r="D166" s="17">
        <v>0</v>
      </c>
      <c r="E166" s="17">
        <v>1025.45</v>
      </c>
      <c r="F166" s="17">
        <v>0</v>
      </c>
      <c r="G166" s="17">
        <v>0</v>
      </c>
      <c r="H166" s="17">
        <v>0</v>
      </c>
      <c r="I166" s="17">
        <v>0</v>
      </c>
      <c r="J166" s="17">
        <v>1088.27</v>
      </c>
      <c r="K166" s="16" t="s">
        <v>48</v>
      </c>
    </row>
    <row r="167" spans="1:11" x14ac:dyDescent="0.35">
      <c r="A167" s="16">
        <v>478658</v>
      </c>
      <c r="B167" s="16" t="s">
        <v>33</v>
      </c>
      <c r="C167" s="17">
        <v>62.74</v>
      </c>
      <c r="D167" s="17">
        <v>0</v>
      </c>
      <c r="E167" s="17">
        <v>1019.12</v>
      </c>
      <c r="F167" s="17">
        <v>0</v>
      </c>
      <c r="G167" s="17">
        <v>0</v>
      </c>
      <c r="H167" s="17">
        <v>0</v>
      </c>
      <c r="I167" s="17">
        <v>0</v>
      </c>
      <c r="J167" s="17">
        <v>1081.8599999999999</v>
      </c>
      <c r="K167" s="16" t="s">
        <v>48</v>
      </c>
    </row>
    <row r="168" spans="1:11" x14ac:dyDescent="0.35">
      <c r="A168" s="16">
        <v>686946</v>
      </c>
      <c r="B168" s="16" t="s">
        <v>33</v>
      </c>
      <c r="C168" s="17">
        <v>62.6</v>
      </c>
      <c r="D168" s="17">
        <v>0</v>
      </c>
      <c r="E168" s="17">
        <v>1008</v>
      </c>
      <c r="F168" s="17">
        <v>0</v>
      </c>
      <c r="G168" s="17">
        <v>0</v>
      </c>
      <c r="H168" s="17">
        <v>0</v>
      </c>
      <c r="I168" s="17">
        <v>0</v>
      </c>
      <c r="J168" s="17">
        <v>1070.5999999999999</v>
      </c>
      <c r="K168" s="16" t="s">
        <v>48</v>
      </c>
    </row>
    <row r="169" spans="1:11" x14ac:dyDescent="0.35">
      <c r="A169" s="16">
        <v>477757</v>
      </c>
      <c r="B169" s="16" t="s">
        <v>33</v>
      </c>
      <c r="C169" s="17">
        <v>62.52</v>
      </c>
      <c r="D169" s="17">
        <v>0</v>
      </c>
      <c r="E169" s="17">
        <v>1001.44</v>
      </c>
      <c r="F169" s="17">
        <v>0</v>
      </c>
      <c r="G169" s="17">
        <v>0</v>
      </c>
      <c r="H169" s="17">
        <v>0</v>
      </c>
      <c r="I169" s="17">
        <v>0.4</v>
      </c>
      <c r="J169" s="17">
        <v>1064.3599999999999</v>
      </c>
      <c r="K169" s="16" t="s">
        <v>48</v>
      </c>
    </row>
    <row r="170" spans="1:11" x14ac:dyDescent="0.35">
      <c r="A170" s="16">
        <v>477562</v>
      </c>
      <c r="B170" s="16" t="s">
        <v>33</v>
      </c>
      <c r="C170" s="17">
        <v>61.79</v>
      </c>
      <c r="D170" s="17">
        <v>0</v>
      </c>
      <c r="E170" s="17">
        <v>943.06</v>
      </c>
      <c r="F170" s="17">
        <v>0</v>
      </c>
      <c r="G170" s="17">
        <v>50</v>
      </c>
      <c r="H170" s="17">
        <v>0</v>
      </c>
      <c r="I170" s="17">
        <v>0</v>
      </c>
      <c r="J170" s="17">
        <v>1054.8499999999999</v>
      </c>
      <c r="K170" s="16" t="s">
        <v>48</v>
      </c>
    </row>
    <row r="171" spans="1:11" x14ac:dyDescent="0.35">
      <c r="A171" s="16">
        <v>827593</v>
      </c>
      <c r="B171" s="16"/>
      <c r="C171" s="17">
        <v>62.37</v>
      </c>
      <c r="D171" s="17">
        <v>0</v>
      </c>
      <c r="E171" s="17">
        <v>989.91</v>
      </c>
      <c r="F171" s="17">
        <v>0</v>
      </c>
      <c r="G171" s="17">
        <v>0</v>
      </c>
      <c r="H171" s="17">
        <v>0</v>
      </c>
      <c r="I171" s="17">
        <v>0</v>
      </c>
      <c r="J171" s="17">
        <v>1052.28</v>
      </c>
      <c r="K171" s="16" t="s">
        <v>48</v>
      </c>
    </row>
    <row r="172" spans="1:11" x14ac:dyDescent="0.35">
      <c r="A172" s="16">
        <v>478373</v>
      </c>
      <c r="B172" s="16"/>
      <c r="C172" s="17">
        <v>62.37</v>
      </c>
      <c r="D172" s="17">
        <v>0</v>
      </c>
      <c r="E172" s="17">
        <v>989.73</v>
      </c>
      <c r="F172" s="17">
        <v>0</v>
      </c>
      <c r="G172" s="17">
        <v>0</v>
      </c>
      <c r="H172" s="17">
        <v>0</v>
      </c>
      <c r="I172" s="17">
        <v>0</v>
      </c>
      <c r="J172" s="17">
        <v>1052.0999999999999</v>
      </c>
      <c r="K172" s="16" t="s">
        <v>48</v>
      </c>
    </row>
    <row r="173" spans="1:11" x14ac:dyDescent="0.35">
      <c r="A173" s="16">
        <v>476815</v>
      </c>
      <c r="B173" s="16" t="s">
        <v>33</v>
      </c>
      <c r="C173" s="17">
        <v>62.33</v>
      </c>
      <c r="D173" s="17">
        <v>0</v>
      </c>
      <c r="E173" s="17">
        <v>986.79</v>
      </c>
      <c r="F173" s="17">
        <v>0</v>
      </c>
      <c r="G173" s="17">
        <v>0</v>
      </c>
      <c r="H173" s="17">
        <v>0</v>
      </c>
      <c r="I173" s="17">
        <v>0</v>
      </c>
      <c r="J173" s="17">
        <v>1049.1199999999999</v>
      </c>
      <c r="K173" s="16" t="s">
        <v>48</v>
      </c>
    </row>
    <row r="174" spans="1:11" x14ac:dyDescent="0.35">
      <c r="A174" s="16">
        <v>478004</v>
      </c>
      <c r="B174" s="16" t="s">
        <v>33</v>
      </c>
      <c r="C174" s="17">
        <v>62.31</v>
      </c>
      <c r="D174" s="17">
        <v>0</v>
      </c>
      <c r="E174" s="17">
        <v>984.73</v>
      </c>
      <c r="F174" s="17">
        <v>0</v>
      </c>
      <c r="G174" s="17">
        <v>0</v>
      </c>
      <c r="H174" s="17">
        <v>0</v>
      </c>
      <c r="I174" s="17">
        <v>0</v>
      </c>
      <c r="J174" s="17">
        <v>1047.04</v>
      </c>
      <c r="K174" s="16" t="s">
        <v>48</v>
      </c>
    </row>
    <row r="175" spans="1:11" x14ac:dyDescent="0.35">
      <c r="A175" s="16">
        <v>477307</v>
      </c>
      <c r="B175" s="16"/>
      <c r="C175" s="17">
        <v>61.17</v>
      </c>
      <c r="D175" s="17">
        <v>0</v>
      </c>
      <c r="E175" s="17">
        <v>893.63</v>
      </c>
      <c r="F175" s="17">
        <v>0</v>
      </c>
      <c r="G175" s="17">
        <v>0</v>
      </c>
      <c r="H175" s="17">
        <v>0</v>
      </c>
      <c r="I175" s="17">
        <v>90.15</v>
      </c>
      <c r="J175" s="17">
        <v>1044.95</v>
      </c>
      <c r="K175" s="16" t="s">
        <v>48</v>
      </c>
    </row>
    <row r="176" spans="1:11" x14ac:dyDescent="0.35">
      <c r="A176" s="16">
        <v>696852</v>
      </c>
      <c r="B176" s="16" t="s">
        <v>33</v>
      </c>
      <c r="C176" s="17">
        <v>62.27</v>
      </c>
      <c r="D176" s="17">
        <v>0</v>
      </c>
      <c r="E176" s="17">
        <v>981.43</v>
      </c>
      <c r="F176" s="17">
        <v>0</v>
      </c>
      <c r="G176" s="17">
        <v>0</v>
      </c>
      <c r="H176" s="17">
        <v>0</v>
      </c>
      <c r="I176" s="17">
        <v>0</v>
      </c>
      <c r="J176" s="17">
        <v>1043.7</v>
      </c>
      <c r="K176" s="16" t="s">
        <v>48</v>
      </c>
    </row>
    <row r="177" spans="1:11" x14ac:dyDescent="0.35">
      <c r="A177" s="16">
        <v>477954</v>
      </c>
      <c r="B177" s="16" t="s">
        <v>33</v>
      </c>
      <c r="C177" s="17">
        <v>62.06</v>
      </c>
      <c r="D177" s="17">
        <v>0</v>
      </c>
      <c r="E177" s="17">
        <v>964.55</v>
      </c>
      <c r="F177" s="17">
        <v>0</v>
      </c>
      <c r="G177" s="17">
        <v>0</v>
      </c>
      <c r="H177" s="17">
        <v>0</v>
      </c>
      <c r="I177" s="17">
        <v>0</v>
      </c>
      <c r="J177" s="17">
        <v>1026.6099999999999</v>
      </c>
      <c r="K177" s="16" t="s">
        <v>48</v>
      </c>
    </row>
    <row r="178" spans="1:11" x14ac:dyDescent="0.35">
      <c r="A178" s="16">
        <v>477631</v>
      </c>
      <c r="B178" s="16"/>
      <c r="C178" s="17">
        <v>62.05</v>
      </c>
      <c r="D178" s="17">
        <v>0</v>
      </c>
      <c r="E178" s="17">
        <v>963.94</v>
      </c>
      <c r="F178" s="17">
        <v>0</v>
      </c>
      <c r="G178" s="17">
        <v>0</v>
      </c>
      <c r="H178" s="17">
        <v>0</v>
      </c>
      <c r="I178" s="17">
        <v>0</v>
      </c>
      <c r="J178" s="17">
        <v>1025.99</v>
      </c>
      <c r="K178" s="16" t="s">
        <v>48</v>
      </c>
    </row>
    <row r="179" spans="1:11" x14ac:dyDescent="0.35">
      <c r="A179" s="16">
        <v>477726</v>
      </c>
      <c r="B179" s="16" t="s">
        <v>33</v>
      </c>
      <c r="C179" s="17">
        <v>62.04</v>
      </c>
      <c r="D179" s="17">
        <v>0</v>
      </c>
      <c r="E179" s="17">
        <v>963.15</v>
      </c>
      <c r="F179" s="17">
        <v>0</v>
      </c>
      <c r="G179" s="17">
        <v>0</v>
      </c>
      <c r="H179" s="17">
        <v>0</v>
      </c>
      <c r="I179" s="17">
        <v>0</v>
      </c>
      <c r="J179" s="17">
        <v>1025.19</v>
      </c>
      <c r="K179" s="16" t="s">
        <v>48</v>
      </c>
    </row>
    <row r="180" spans="1:11" x14ac:dyDescent="0.35">
      <c r="A180" s="16">
        <v>476533</v>
      </c>
      <c r="B180" s="16" t="s">
        <v>33</v>
      </c>
      <c r="C180" s="17">
        <v>61.96</v>
      </c>
      <c r="D180" s="17">
        <v>0</v>
      </c>
      <c r="E180" s="17">
        <v>957.19</v>
      </c>
      <c r="F180" s="17">
        <v>0</v>
      </c>
      <c r="G180" s="17">
        <v>0</v>
      </c>
      <c r="H180" s="17">
        <v>0</v>
      </c>
      <c r="I180" s="17">
        <v>0</v>
      </c>
      <c r="J180" s="17">
        <v>1019.15</v>
      </c>
      <c r="K180" s="16" t="s">
        <v>48</v>
      </c>
    </row>
    <row r="181" spans="1:11" x14ac:dyDescent="0.35">
      <c r="A181" s="16">
        <v>477758</v>
      </c>
      <c r="B181" s="16" t="s">
        <v>33</v>
      </c>
      <c r="C181" s="17">
        <v>61.95</v>
      </c>
      <c r="D181" s="17">
        <v>0</v>
      </c>
      <c r="E181" s="17">
        <v>956.09</v>
      </c>
      <c r="F181" s="17">
        <v>0</v>
      </c>
      <c r="G181" s="17">
        <v>0</v>
      </c>
      <c r="H181" s="17">
        <v>0</v>
      </c>
      <c r="I181" s="17">
        <v>0</v>
      </c>
      <c r="J181" s="17">
        <v>1018.04</v>
      </c>
      <c r="K181" s="16" t="s">
        <v>48</v>
      </c>
    </row>
    <row r="182" spans="1:11" x14ac:dyDescent="0.35">
      <c r="A182" s="16">
        <v>475088</v>
      </c>
      <c r="B182" s="16"/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1017.27</v>
      </c>
      <c r="J182" s="17">
        <v>1017.27</v>
      </c>
      <c r="K182" s="16" t="s">
        <v>48</v>
      </c>
    </row>
    <row r="183" spans="1:11" x14ac:dyDescent="0.35">
      <c r="A183" s="16">
        <v>475838</v>
      </c>
      <c r="B183" s="16"/>
      <c r="C183" s="17">
        <v>61.81</v>
      </c>
      <c r="D183" s="17">
        <v>0</v>
      </c>
      <c r="E183" s="17">
        <v>945</v>
      </c>
      <c r="F183" s="17">
        <v>0</v>
      </c>
      <c r="G183" s="17">
        <v>0</v>
      </c>
      <c r="H183" s="17">
        <v>0</v>
      </c>
      <c r="I183" s="17">
        <v>0</v>
      </c>
      <c r="J183" s="17">
        <v>1006.81</v>
      </c>
      <c r="K183" s="16" t="s">
        <v>48</v>
      </c>
    </row>
    <row r="184" spans="1:11" x14ac:dyDescent="0.35">
      <c r="A184" s="16">
        <v>478444</v>
      </c>
      <c r="B184" s="16" t="s">
        <v>33</v>
      </c>
      <c r="C184" s="17">
        <v>61.73</v>
      </c>
      <c r="D184" s="17">
        <v>0</v>
      </c>
      <c r="E184" s="17">
        <v>938.64</v>
      </c>
      <c r="F184" s="17">
        <v>0</v>
      </c>
      <c r="G184" s="17">
        <v>0</v>
      </c>
      <c r="H184" s="17">
        <v>0</v>
      </c>
      <c r="I184" s="17">
        <v>0</v>
      </c>
      <c r="J184" s="17">
        <v>1000.37</v>
      </c>
      <c r="K184" s="16" t="s">
        <v>48</v>
      </c>
    </row>
    <row r="185" spans="1:11" x14ac:dyDescent="0.35">
      <c r="A185" s="16">
        <v>478017</v>
      </c>
      <c r="B185" s="16"/>
      <c r="C185" s="17">
        <v>61.72</v>
      </c>
      <c r="D185" s="17">
        <v>0</v>
      </c>
      <c r="E185" s="17">
        <v>937.72</v>
      </c>
      <c r="F185" s="17">
        <v>0</v>
      </c>
      <c r="G185" s="17">
        <v>0</v>
      </c>
      <c r="H185" s="17">
        <v>0</v>
      </c>
      <c r="I185" s="17">
        <v>0</v>
      </c>
      <c r="J185" s="17">
        <v>999.44</v>
      </c>
      <c r="K185" s="16" t="s">
        <v>48</v>
      </c>
    </row>
    <row r="186" spans="1:11" x14ac:dyDescent="0.35">
      <c r="A186" s="16">
        <v>753965</v>
      </c>
      <c r="B186" s="16" t="s">
        <v>33</v>
      </c>
      <c r="C186" s="17">
        <v>61.71</v>
      </c>
      <c r="D186" s="17">
        <v>0</v>
      </c>
      <c r="E186" s="17">
        <v>936.86</v>
      </c>
      <c r="F186" s="17">
        <v>0</v>
      </c>
      <c r="G186" s="17">
        <v>0</v>
      </c>
      <c r="H186" s="17">
        <v>0</v>
      </c>
      <c r="I186" s="17">
        <v>0</v>
      </c>
      <c r="J186" s="17">
        <v>998.57</v>
      </c>
      <c r="K186" s="16" t="s">
        <v>48</v>
      </c>
    </row>
    <row r="187" spans="1:11" x14ac:dyDescent="0.35">
      <c r="A187" s="16">
        <v>475841</v>
      </c>
      <c r="B187" s="16" t="s">
        <v>33</v>
      </c>
      <c r="C187" s="17">
        <v>61.7</v>
      </c>
      <c r="D187" s="17">
        <v>0</v>
      </c>
      <c r="E187" s="17">
        <v>935.79</v>
      </c>
      <c r="F187" s="17">
        <v>0</v>
      </c>
      <c r="G187" s="17">
        <v>0</v>
      </c>
      <c r="H187" s="17">
        <v>0</v>
      </c>
      <c r="I187" s="17">
        <v>0</v>
      </c>
      <c r="J187" s="17">
        <v>997.49</v>
      </c>
      <c r="K187" s="16" t="s">
        <v>48</v>
      </c>
    </row>
    <row r="188" spans="1:11" x14ac:dyDescent="0.35">
      <c r="A188" s="16">
        <v>474479</v>
      </c>
      <c r="B188" s="16"/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997.33</v>
      </c>
      <c r="J188" s="17">
        <v>997.33</v>
      </c>
      <c r="K188" s="16" t="s">
        <v>48</v>
      </c>
    </row>
    <row r="189" spans="1:11" x14ac:dyDescent="0.35">
      <c r="A189" s="16">
        <v>475868</v>
      </c>
      <c r="B189" s="16"/>
      <c r="C189" s="17">
        <v>61.69</v>
      </c>
      <c r="D189" s="17">
        <v>0</v>
      </c>
      <c r="E189" s="17">
        <v>935.55</v>
      </c>
      <c r="F189" s="17">
        <v>0</v>
      </c>
      <c r="G189" s="17">
        <v>0</v>
      </c>
      <c r="H189" s="17">
        <v>0</v>
      </c>
      <c r="I189" s="17">
        <v>0</v>
      </c>
      <c r="J189" s="17">
        <v>997.24</v>
      </c>
      <c r="K189" s="16" t="s">
        <v>48</v>
      </c>
    </row>
    <row r="190" spans="1:11" x14ac:dyDescent="0.35">
      <c r="A190" s="16">
        <v>476358</v>
      </c>
      <c r="B190" s="16" t="s">
        <v>33</v>
      </c>
      <c r="C190" s="17">
        <v>61.65</v>
      </c>
      <c r="D190" s="17">
        <v>0</v>
      </c>
      <c r="E190" s="17">
        <v>931.95</v>
      </c>
      <c r="F190" s="17">
        <v>0</v>
      </c>
      <c r="G190" s="17">
        <v>0</v>
      </c>
      <c r="H190" s="17">
        <v>0</v>
      </c>
      <c r="I190" s="17">
        <v>0</v>
      </c>
      <c r="J190" s="17">
        <v>993.6</v>
      </c>
      <c r="K190" s="16" t="s">
        <v>48</v>
      </c>
    </row>
    <row r="191" spans="1:11" x14ac:dyDescent="0.35">
      <c r="A191" s="16">
        <v>475753</v>
      </c>
      <c r="B191" s="16" t="s">
        <v>33</v>
      </c>
      <c r="C191" s="17">
        <v>61.61</v>
      </c>
      <c r="D191" s="17">
        <v>0</v>
      </c>
      <c r="E191" s="17">
        <v>928.93</v>
      </c>
      <c r="F191" s="17">
        <v>0</v>
      </c>
      <c r="G191" s="17">
        <v>0</v>
      </c>
      <c r="H191" s="17">
        <v>0</v>
      </c>
      <c r="I191" s="17">
        <v>0</v>
      </c>
      <c r="J191" s="17">
        <v>990.54</v>
      </c>
      <c r="K191" s="16" t="s">
        <v>48</v>
      </c>
    </row>
    <row r="192" spans="1:11" x14ac:dyDescent="0.35">
      <c r="A192" s="16">
        <v>606667</v>
      </c>
      <c r="B192" s="16" t="s">
        <v>33</v>
      </c>
      <c r="C192" s="17">
        <v>61.61</v>
      </c>
      <c r="D192" s="17">
        <v>0</v>
      </c>
      <c r="E192" s="17">
        <v>928.93</v>
      </c>
      <c r="F192" s="17">
        <v>0</v>
      </c>
      <c r="G192" s="17">
        <v>0</v>
      </c>
      <c r="H192" s="17">
        <v>0</v>
      </c>
      <c r="I192" s="17">
        <v>0</v>
      </c>
      <c r="J192" s="17">
        <v>990.54</v>
      </c>
      <c r="K192" s="16" t="s">
        <v>48</v>
      </c>
    </row>
    <row r="193" spans="1:11" x14ac:dyDescent="0.35">
      <c r="A193" s="16">
        <v>476971</v>
      </c>
      <c r="B193" s="16" t="s">
        <v>33</v>
      </c>
      <c r="C193" s="17">
        <v>61.56</v>
      </c>
      <c r="D193" s="17">
        <v>0</v>
      </c>
      <c r="E193" s="17">
        <v>924.73</v>
      </c>
      <c r="F193" s="17">
        <v>0</v>
      </c>
      <c r="G193" s="17">
        <v>0</v>
      </c>
      <c r="H193" s="17">
        <v>0</v>
      </c>
      <c r="I193" s="17">
        <v>0</v>
      </c>
      <c r="J193" s="17">
        <v>986.29</v>
      </c>
      <c r="K193" s="16" t="s">
        <v>48</v>
      </c>
    </row>
    <row r="194" spans="1:11" x14ac:dyDescent="0.35">
      <c r="A194" s="16">
        <v>477337</v>
      </c>
      <c r="B194" s="16"/>
      <c r="C194" s="17">
        <v>61.53</v>
      </c>
      <c r="D194" s="17">
        <v>0</v>
      </c>
      <c r="E194" s="17">
        <v>922.38</v>
      </c>
      <c r="F194" s="17">
        <v>0</v>
      </c>
      <c r="G194" s="17">
        <v>0</v>
      </c>
      <c r="H194" s="17">
        <v>0</v>
      </c>
      <c r="I194" s="17">
        <v>0</v>
      </c>
      <c r="J194" s="17">
        <v>983.91</v>
      </c>
      <c r="K194" s="16" t="s">
        <v>48</v>
      </c>
    </row>
    <row r="195" spans="1:11" x14ac:dyDescent="0.35">
      <c r="A195" s="16">
        <v>478283</v>
      </c>
      <c r="B195" s="16" t="s">
        <v>33</v>
      </c>
      <c r="C195" s="17">
        <v>91.16</v>
      </c>
      <c r="D195" s="17">
        <v>0</v>
      </c>
      <c r="E195" s="17">
        <v>892.42</v>
      </c>
      <c r="F195" s="17">
        <v>0</v>
      </c>
      <c r="G195" s="17">
        <v>0</v>
      </c>
      <c r="H195" s="17">
        <v>0</v>
      </c>
      <c r="I195" s="17">
        <v>0</v>
      </c>
      <c r="J195" s="17">
        <v>983.58</v>
      </c>
      <c r="K195" s="16" t="s">
        <v>48</v>
      </c>
    </row>
    <row r="196" spans="1:11" x14ac:dyDescent="0.35">
      <c r="A196" s="16">
        <v>883661</v>
      </c>
      <c r="B196" s="16"/>
      <c r="C196" s="17">
        <v>981.5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981.5</v>
      </c>
      <c r="K196" s="16" t="s">
        <v>48</v>
      </c>
    </row>
    <row r="197" spans="1:11" x14ac:dyDescent="0.35">
      <c r="A197" s="16">
        <v>477664</v>
      </c>
      <c r="B197" s="16" t="s">
        <v>33</v>
      </c>
      <c r="C197" s="17">
        <v>61.48</v>
      </c>
      <c r="D197" s="17">
        <v>0</v>
      </c>
      <c r="E197" s="17">
        <v>918</v>
      </c>
      <c r="F197" s="17">
        <v>0</v>
      </c>
      <c r="G197" s="17">
        <v>0</v>
      </c>
      <c r="H197" s="17">
        <v>0</v>
      </c>
      <c r="I197" s="17">
        <v>0</v>
      </c>
      <c r="J197" s="17">
        <v>979.48</v>
      </c>
      <c r="K197" s="16" t="s">
        <v>48</v>
      </c>
    </row>
    <row r="198" spans="1:11" x14ac:dyDescent="0.35">
      <c r="A198" s="16">
        <v>477030</v>
      </c>
      <c r="B198" s="16"/>
      <c r="C198" s="17">
        <v>61.46</v>
      </c>
      <c r="D198" s="17">
        <v>0</v>
      </c>
      <c r="E198" s="17">
        <v>916.59</v>
      </c>
      <c r="F198" s="17">
        <v>0</v>
      </c>
      <c r="G198" s="17">
        <v>0</v>
      </c>
      <c r="H198" s="17">
        <v>0</v>
      </c>
      <c r="I198" s="17">
        <v>0</v>
      </c>
      <c r="J198" s="17">
        <v>978.05</v>
      </c>
      <c r="K198" s="16" t="s">
        <v>48</v>
      </c>
    </row>
    <row r="199" spans="1:11" x14ac:dyDescent="0.35">
      <c r="A199" s="16">
        <v>476977</v>
      </c>
      <c r="B199" s="16" t="s">
        <v>33</v>
      </c>
      <c r="C199" s="17">
        <v>61.43</v>
      </c>
      <c r="D199" s="17">
        <v>0</v>
      </c>
      <c r="E199" s="17">
        <v>914.31</v>
      </c>
      <c r="F199" s="17">
        <v>0</v>
      </c>
      <c r="G199" s="17">
        <v>0</v>
      </c>
      <c r="H199" s="17">
        <v>0</v>
      </c>
      <c r="I199" s="17">
        <v>0</v>
      </c>
      <c r="J199" s="17">
        <v>975.74</v>
      </c>
      <c r="K199" s="16" t="s">
        <v>48</v>
      </c>
    </row>
    <row r="200" spans="1:11" x14ac:dyDescent="0.35">
      <c r="A200" s="16">
        <v>476414</v>
      </c>
      <c r="B200" s="16"/>
      <c r="C200" s="17">
        <v>61.41</v>
      </c>
      <c r="D200" s="17">
        <v>0</v>
      </c>
      <c r="E200" s="17">
        <v>912.92</v>
      </c>
      <c r="F200" s="17">
        <v>0</v>
      </c>
      <c r="G200" s="17">
        <v>0</v>
      </c>
      <c r="H200" s="17">
        <v>0</v>
      </c>
      <c r="I200" s="17">
        <v>0</v>
      </c>
      <c r="J200" s="17">
        <v>974.33</v>
      </c>
      <c r="K200" s="16" t="s">
        <v>48</v>
      </c>
    </row>
    <row r="201" spans="1:11" x14ac:dyDescent="0.35">
      <c r="A201" s="16">
        <v>801538</v>
      </c>
      <c r="B201" s="16" t="s">
        <v>33</v>
      </c>
      <c r="C201" s="17">
        <v>61.41</v>
      </c>
      <c r="D201" s="17">
        <v>0</v>
      </c>
      <c r="E201" s="17">
        <v>912.69</v>
      </c>
      <c r="F201" s="17">
        <v>0</v>
      </c>
      <c r="G201" s="17">
        <v>0</v>
      </c>
      <c r="H201" s="17">
        <v>0</v>
      </c>
      <c r="I201" s="17">
        <v>0</v>
      </c>
      <c r="J201" s="17">
        <v>974.1</v>
      </c>
      <c r="K201" s="16" t="s">
        <v>48</v>
      </c>
    </row>
    <row r="202" spans="1:11" x14ac:dyDescent="0.35">
      <c r="A202" s="16">
        <v>475846</v>
      </c>
      <c r="B202" s="16" t="s">
        <v>33</v>
      </c>
      <c r="C202" s="17">
        <v>61.37</v>
      </c>
      <c r="D202" s="17">
        <v>0</v>
      </c>
      <c r="E202" s="17">
        <v>909.91</v>
      </c>
      <c r="F202" s="17">
        <v>0</v>
      </c>
      <c r="G202" s="17">
        <v>0</v>
      </c>
      <c r="H202" s="17">
        <v>0</v>
      </c>
      <c r="I202" s="17">
        <v>0</v>
      </c>
      <c r="J202" s="17">
        <v>971.28</v>
      </c>
      <c r="K202" s="16" t="s">
        <v>48</v>
      </c>
    </row>
    <row r="203" spans="1:11" x14ac:dyDescent="0.35">
      <c r="A203" s="16">
        <v>477520</v>
      </c>
      <c r="B203" s="16" t="s">
        <v>33</v>
      </c>
      <c r="C203" s="17">
        <v>61.36</v>
      </c>
      <c r="D203" s="17">
        <v>0</v>
      </c>
      <c r="E203" s="17">
        <v>908.44</v>
      </c>
      <c r="F203" s="17">
        <v>0</v>
      </c>
      <c r="G203" s="17">
        <v>0</v>
      </c>
      <c r="H203" s="17">
        <v>0</v>
      </c>
      <c r="I203" s="17">
        <v>0</v>
      </c>
      <c r="J203" s="17">
        <v>969.8</v>
      </c>
      <c r="K203" s="16" t="s">
        <v>48</v>
      </c>
    </row>
    <row r="204" spans="1:11" x14ac:dyDescent="0.35">
      <c r="A204" s="16">
        <v>640832</v>
      </c>
      <c r="B204" s="16" t="s">
        <v>33</v>
      </c>
      <c r="C204" s="17">
        <v>61.28</v>
      </c>
      <c r="D204" s="17">
        <v>0</v>
      </c>
      <c r="E204" s="17">
        <v>902.23</v>
      </c>
      <c r="F204" s="17">
        <v>0</v>
      </c>
      <c r="G204" s="17">
        <v>0</v>
      </c>
      <c r="H204" s="17">
        <v>0</v>
      </c>
      <c r="I204" s="17">
        <v>0</v>
      </c>
      <c r="J204" s="17">
        <v>963.51</v>
      </c>
      <c r="K204" s="16" t="s">
        <v>48</v>
      </c>
    </row>
    <row r="205" spans="1:11" x14ac:dyDescent="0.35">
      <c r="A205" s="16">
        <v>478607</v>
      </c>
      <c r="B205" s="16" t="s">
        <v>33</v>
      </c>
      <c r="C205" s="17">
        <v>61.26</v>
      </c>
      <c r="D205" s="17">
        <v>0</v>
      </c>
      <c r="E205" s="17">
        <v>900.78</v>
      </c>
      <c r="F205" s="17">
        <v>0</v>
      </c>
      <c r="G205" s="17">
        <v>0</v>
      </c>
      <c r="H205" s="17">
        <v>0</v>
      </c>
      <c r="I205" s="17">
        <v>0</v>
      </c>
      <c r="J205" s="17">
        <v>962.04</v>
      </c>
      <c r="K205" s="16" t="s">
        <v>48</v>
      </c>
    </row>
    <row r="206" spans="1:11" x14ac:dyDescent="0.35">
      <c r="A206" s="16">
        <v>475075</v>
      </c>
      <c r="B206" s="16" t="s">
        <v>33</v>
      </c>
      <c r="C206" s="17">
        <v>61.19</v>
      </c>
      <c r="D206" s="17">
        <v>0</v>
      </c>
      <c r="E206" s="17">
        <v>894.89</v>
      </c>
      <c r="F206" s="17">
        <v>0</v>
      </c>
      <c r="G206" s="17">
        <v>0</v>
      </c>
      <c r="H206" s="17">
        <v>0</v>
      </c>
      <c r="I206" s="17">
        <v>0</v>
      </c>
      <c r="J206" s="17">
        <v>956.08</v>
      </c>
      <c r="K206" s="16" t="s">
        <v>48</v>
      </c>
    </row>
    <row r="207" spans="1:11" x14ac:dyDescent="0.35">
      <c r="A207" s="16">
        <v>475081</v>
      </c>
      <c r="B207" s="16"/>
      <c r="C207" s="17">
        <v>61.19</v>
      </c>
      <c r="D207" s="17">
        <v>0</v>
      </c>
      <c r="E207" s="17">
        <v>894.89</v>
      </c>
      <c r="F207" s="17">
        <v>0</v>
      </c>
      <c r="G207" s="17">
        <v>0</v>
      </c>
      <c r="H207" s="17">
        <v>0</v>
      </c>
      <c r="I207" s="17">
        <v>0</v>
      </c>
      <c r="J207" s="17">
        <v>956.08</v>
      </c>
      <c r="K207" s="16" t="s">
        <v>48</v>
      </c>
    </row>
    <row r="208" spans="1:11" x14ac:dyDescent="0.35">
      <c r="A208" s="16">
        <v>592408</v>
      </c>
      <c r="B208" s="16" t="s">
        <v>33</v>
      </c>
      <c r="C208" s="17">
        <v>61.19</v>
      </c>
      <c r="D208" s="17">
        <v>0</v>
      </c>
      <c r="E208" s="17">
        <v>894.89</v>
      </c>
      <c r="F208" s="17">
        <v>0</v>
      </c>
      <c r="G208" s="17">
        <v>0</v>
      </c>
      <c r="H208" s="17">
        <v>0</v>
      </c>
      <c r="I208" s="17">
        <v>0</v>
      </c>
      <c r="J208" s="17">
        <v>956.08</v>
      </c>
      <c r="K208" s="16" t="s">
        <v>48</v>
      </c>
    </row>
    <row r="209" spans="1:11" x14ac:dyDescent="0.35">
      <c r="A209" s="16">
        <v>477915</v>
      </c>
      <c r="B209" s="16"/>
      <c r="C209" s="17">
        <v>61.18</v>
      </c>
      <c r="D209" s="17">
        <v>0</v>
      </c>
      <c r="E209" s="17">
        <v>894.61</v>
      </c>
      <c r="F209" s="17">
        <v>0</v>
      </c>
      <c r="G209" s="17">
        <v>0</v>
      </c>
      <c r="H209" s="17">
        <v>0</v>
      </c>
      <c r="I209" s="17">
        <v>0</v>
      </c>
      <c r="J209" s="17">
        <v>955.79</v>
      </c>
      <c r="K209" s="16" t="s">
        <v>48</v>
      </c>
    </row>
    <row r="210" spans="1:11" x14ac:dyDescent="0.35">
      <c r="A210" s="16">
        <v>475390</v>
      </c>
      <c r="B210" s="16" t="s">
        <v>33</v>
      </c>
      <c r="C210" s="17">
        <v>60.79</v>
      </c>
      <c r="D210" s="17">
        <v>30</v>
      </c>
      <c r="E210" s="17">
        <v>862.87</v>
      </c>
      <c r="F210" s="17">
        <v>0</v>
      </c>
      <c r="G210" s="17">
        <v>0</v>
      </c>
      <c r="H210" s="17">
        <v>0</v>
      </c>
      <c r="I210" s="17">
        <v>0</v>
      </c>
      <c r="J210" s="17">
        <v>953.66</v>
      </c>
      <c r="K210" s="16" t="s">
        <v>48</v>
      </c>
    </row>
    <row r="211" spans="1:11" x14ac:dyDescent="0.35">
      <c r="A211" s="16">
        <v>717998</v>
      </c>
      <c r="B211" s="16" t="s">
        <v>33</v>
      </c>
      <c r="C211" s="17">
        <v>62.37</v>
      </c>
      <c r="D211" s="17">
        <v>0</v>
      </c>
      <c r="E211" s="17">
        <v>889.52</v>
      </c>
      <c r="F211" s="17">
        <v>0</v>
      </c>
      <c r="G211" s="17">
        <v>0</v>
      </c>
      <c r="H211" s="17">
        <v>0</v>
      </c>
      <c r="I211" s="17">
        <v>0</v>
      </c>
      <c r="J211" s="17">
        <v>951.89</v>
      </c>
      <c r="K211" s="16" t="s">
        <v>48</v>
      </c>
    </row>
    <row r="212" spans="1:11" x14ac:dyDescent="0.35">
      <c r="A212" s="16">
        <v>477055</v>
      </c>
      <c r="B212" s="16" t="s">
        <v>35</v>
      </c>
      <c r="C212" s="17">
        <v>61.13</v>
      </c>
      <c r="D212" s="17">
        <v>0</v>
      </c>
      <c r="E212" s="17">
        <v>890.6</v>
      </c>
      <c r="F212" s="17">
        <v>0</v>
      </c>
      <c r="G212" s="17">
        <v>0</v>
      </c>
      <c r="H212" s="17">
        <v>0</v>
      </c>
      <c r="I212" s="17">
        <v>0</v>
      </c>
      <c r="J212" s="17">
        <v>951.73</v>
      </c>
      <c r="K212" s="16" t="s">
        <v>48</v>
      </c>
    </row>
    <row r="213" spans="1:11" x14ac:dyDescent="0.35">
      <c r="A213" s="16">
        <v>695606</v>
      </c>
      <c r="B213" s="16"/>
      <c r="C213" s="17">
        <v>61.09</v>
      </c>
      <c r="D213" s="17">
        <v>0</v>
      </c>
      <c r="E213" s="17">
        <v>887.02</v>
      </c>
      <c r="F213" s="17">
        <v>0</v>
      </c>
      <c r="G213" s="17">
        <v>0</v>
      </c>
      <c r="H213" s="17">
        <v>0</v>
      </c>
      <c r="I213" s="17">
        <v>0</v>
      </c>
      <c r="J213" s="17">
        <v>948.11</v>
      </c>
      <c r="K213" s="16" t="s">
        <v>48</v>
      </c>
    </row>
    <row r="214" spans="1:11" x14ac:dyDescent="0.35">
      <c r="A214" s="16">
        <v>640810</v>
      </c>
      <c r="B214" s="16" t="s">
        <v>33</v>
      </c>
      <c r="C214" s="17">
        <v>60.95</v>
      </c>
      <c r="D214" s="17">
        <v>0</v>
      </c>
      <c r="E214" s="17">
        <v>875.7</v>
      </c>
      <c r="F214" s="17">
        <v>0</v>
      </c>
      <c r="G214" s="17">
        <v>0</v>
      </c>
      <c r="H214" s="17">
        <v>0</v>
      </c>
      <c r="I214" s="17">
        <v>0</v>
      </c>
      <c r="J214" s="17">
        <v>936.65</v>
      </c>
      <c r="K214" s="16" t="s">
        <v>48</v>
      </c>
    </row>
    <row r="215" spans="1:11" x14ac:dyDescent="0.35">
      <c r="A215" s="16">
        <v>475092</v>
      </c>
      <c r="B215" s="16"/>
      <c r="C215" s="17">
        <v>60.94</v>
      </c>
      <c r="D215" s="17">
        <v>0</v>
      </c>
      <c r="E215" s="17">
        <v>875.12</v>
      </c>
      <c r="F215" s="17">
        <v>0</v>
      </c>
      <c r="G215" s="17">
        <v>0</v>
      </c>
      <c r="H215" s="17">
        <v>0</v>
      </c>
      <c r="I215" s="17">
        <v>0</v>
      </c>
      <c r="J215" s="17">
        <v>936.06</v>
      </c>
      <c r="K215" s="16" t="s">
        <v>48</v>
      </c>
    </row>
    <row r="216" spans="1:11" x14ac:dyDescent="0.35">
      <c r="A216" s="16">
        <v>475196</v>
      </c>
      <c r="B216" s="16"/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935.29</v>
      </c>
      <c r="J216" s="17">
        <v>935.29</v>
      </c>
      <c r="K216" s="16" t="s">
        <v>48</v>
      </c>
    </row>
    <row r="217" spans="1:11" x14ac:dyDescent="0.35">
      <c r="A217" s="16">
        <v>477871</v>
      </c>
      <c r="B217" s="16" t="s">
        <v>33</v>
      </c>
      <c r="C217" s="17">
        <v>60.93</v>
      </c>
      <c r="D217" s="17">
        <v>0</v>
      </c>
      <c r="E217" s="17">
        <v>874.12</v>
      </c>
      <c r="F217" s="17">
        <v>0</v>
      </c>
      <c r="G217" s="17">
        <v>0</v>
      </c>
      <c r="H217" s="17">
        <v>0</v>
      </c>
      <c r="I217" s="17">
        <v>0</v>
      </c>
      <c r="J217" s="17">
        <v>935.05</v>
      </c>
      <c r="K217" s="16" t="s">
        <v>48</v>
      </c>
    </row>
    <row r="218" spans="1:11" x14ac:dyDescent="0.35">
      <c r="A218" s="16">
        <v>477322</v>
      </c>
      <c r="B218" s="16"/>
      <c r="C218" s="17">
        <v>60.87</v>
      </c>
      <c r="D218" s="17">
        <v>0</v>
      </c>
      <c r="E218" s="17">
        <v>869.68</v>
      </c>
      <c r="F218" s="17">
        <v>0</v>
      </c>
      <c r="G218" s="17">
        <v>0</v>
      </c>
      <c r="H218" s="17">
        <v>0</v>
      </c>
      <c r="I218" s="17">
        <v>0</v>
      </c>
      <c r="J218" s="17">
        <v>930.55</v>
      </c>
      <c r="K218" s="16" t="s">
        <v>48</v>
      </c>
    </row>
    <row r="219" spans="1:11" x14ac:dyDescent="0.35">
      <c r="A219" s="16">
        <v>651669</v>
      </c>
      <c r="B219" s="16" t="s">
        <v>33</v>
      </c>
      <c r="C219" s="17">
        <v>60.86</v>
      </c>
      <c r="D219" s="17">
        <v>0</v>
      </c>
      <c r="E219" s="17">
        <v>869.02</v>
      </c>
      <c r="F219" s="17">
        <v>0</v>
      </c>
      <c r="G219" s="17">
        <v>0</v>
      </c>
      <c r="H219" s="17">
        <v>0</v>
      </c>
      <c r="I219" s="17">
        <v>0</v>
      </c>
      <c r="J219" s="17">
        <v>929.88</v>
      </c>
      <c r="K219" s="16" t="s">
        <v>48</v>
      </c>
    </row>
    <row r="220" spans="1:11" x14ac:dyDescent="0.35">
      <c r="A220" s="16">
        <v>476741</v>
      </c>
      <c r="B220" s="16" t="s">
        <v>33</v>
      </c>
      <c r="C220" s="17">
        <v>60.86</v>
      </c>
      <c r="D220" s="17">
        <v>0</v>
      </c>
      <c r="E220" s="17">
        <v>868.75</v>
      </c>
      <c r="F220" s="17">
        <v>0</v>
      </c>
      <c r="G220" s="17">
        <v>0</v>
      </c>
      <c r="H220" s="17">
        <v>0</v>
      </c>
      <c r="I220" s="17">
        <v>0</v>
      </c>
      <c r="J220" s="17">
        <v>929.61</v>
      </c>
      <c r="K220" s="16" t="s">
        <v>48</v>
      </c>
    </row>
    <row r="221" spans="1:11" x14ac:dyDescent="0.35">
      <c r="A221" s="16">
        <v>477854</v>
      </c>
      <c r="B221" s="16" t="s">
        <v>33</v>
      </c>
      <c r="C221" s="17">
        <v>60.81</v>
      </c>
      <c r="D221" s="17">
        <v>0</v>
      </c>
      <c r="E221" s="17">
        <v>864</v>
      </c>
      <c r="F221" s="17">
        <v>0</v>
      </c>
      <c r="G221" s="17">
        <v>0</v>
      </c>
      <c r="H221" s="17">
        <v>0</v>
      </c>
      <c r="I221" s="17">
        <v>0.6</v>
      </c>
      <c r="J221" s="17">
        <v>925.41</v>
      </c>
      <c r="K221" s="16" t="s">
        <v>48</v>
      </c>
    </row>
    <row r="222" spans="1:11" x14ac:dyDescent="0.35">
      <c r="A222" s="16">
        <v>475662</v>
      </c>
      <c r="B222" s="16" t="s">
        <v>33</v>
      </c>
      <c r="C222" s="17">
        <v>60.8</v>
      </c>
      <c r="D222" s="17">
        <v>0</v>
      </c>
      <c r="E222" s="17">
        <v>864</v>
      </c>
      <c r="F222" s="17">
        <v>0</v>
      </c>
      <c r="G222" s="17">
        <v>0</v>
      </c>
      <c r="H222" s="17">
        <v>0</v>
      </c>
      <c r="I222" s="17">
        <v>0</v>
      </c>
      <c r="J222" s="17">
        <v>924.8</v>
      </c>
      <c r="K222" s="16" t="s">
        <v>48</v>
      </c>
    </row>
    <row r="223" spans="1:11" x14ac:dyDescent="0.35">
      <c r="A223" s="16">
        <v>476930</v>
      </c>
      <c r="B223" s="16" t="s">
        <v>33</v>
      </c>
      <c r="C223" s="17">
        <v>60.8</v>
      </c>
      <c r="D223" s="17">
        <v>0</v>
      </c>
      <c r="E223" s="17">
        <v>863.86</v>
      </c>
      <c r="F223" s="17">
        <v>0</v>
      </c>
      <c r="G223" s="17">
        <v>0</v>
      </c>
      <c r="H223" s="17">
        <v>0</v>
      </c>
      <c r="I223" s="17">
        <v>0</v>
      </c>
      <c r="J223" s="17">
        <v>924.66</v>
      </c>
      <c r="K223" s="16" t="s">
        <v>48</v>
      </c>
    </row>
    <row r="224" spans="1:11" x14ac:dyDescent="0.35">
      <c r="A224" s="16">
        <v>477763</v>
      </c>
      <c r="B224" s="16" t="s">
        <v>33</v>
      </c>
      <c r="C224" s="17">
        <v>60.77</v>
      </c>
      <c r="D224" s="17">
        <v>0</v>
      </c>
      <c r="E224" s="17">
        <v>861.45</v>
      </c>
      <c r="F224" s="17">
        <v>0</v>
      </c>
      <c r="G224" s="17">
        <v>0</v>
      </c>
      <c r="H224" s="17">
        <v>0</v>
      </c>
      <c r="I224" s="17">
        <v>0</v>
      </c>
      <c r="J224" s="17">
        <v>922.22</v>
      </c>
      <c r="K224" s="16" t="s">
        <v>48</v>
      </c>
    </row>
    <row r="225" spans="1:11" x14ac:dyDescent="0.35">
      <c r="A225" s="16">
        <v>477136</v>
      </c>
      <c r="B225" s="16" t="s">
        <v>33</v>
      </c>
      <c r="C225" s="17">
        <v>60.74</v>
      </c>
      <c r="D225" s="17">
        <v>0</v>
      </c>
      <c r="E225" s="17">
        <v>858.85</v>
      </c>
      <c r="F225" s="17">
        <v>0</v>
      </c>
      <c r="G225" s="17">
        <v>0</v>
      </c>
      <c r="H225" s="17">
        <v>0</v>
      </c>
      <c r="I225" s="17">
        <v>0</v>
      </c>
      <c r="J225" s="17">
        <v>919.59</v>
      </c>
      <c r="K225" s="16" t="s">
        <v>48</v>
      </c>
    </row>
    <row r="226" spans="1:11" x14ac:dyDescent="0.35">
      <c r="A226" s="16">
        <v>476834</v>
      </c>
      <c r="B226" s="16" t="s">
        <v>33</v>
      </c>
      <c r="C226" s="17">
        <v>60.71</v>
      </c>
      <c r="D226" s="17">
        <v>0</v>
      </c>
      <c r="E226" s="17">
        <v>856.76</v>
      </c>
      <c r="F226" s="17">
        <v>0</v>
      </c>
      <c r="G226" s="17">
        <v>0</v>
      </c>
      <c r="H226" s="17">
        <v>0</v>
      </c>
      <c r="I226" s="17">
        <v>0</v>
      </c>
      <c r="J226" s="17">
        <v>917.47</v>
      </c>
      <c r="K226" s="16" t="s">
        <v>48</v>
      </c>
    </row>
    <row r="227" spans="1:11" x14ac:dyDescent="0.35">
      <c r="A227" s="16">
        <v>475842</v>
      </c>
      <c r="B227" s="16" t="s">
        <v>37</v>
      </c>
      <c r="C227" s="17">
        <v>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916.95</v>
      </c>
      <c r="J227" s="17">
        <v>916.95</v>
      </c>
      <c r="K227" s="16" t="s">
        <v>48</v>
      </c>
    </row>
    <row r="228" spans="1:11" x14ac:dyDescent="0.35">
      <c r="A228" s="16">
        <v>474934</v>
      </c>
      <c r="B228" s="16"/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916.51</v>
      </c>
      <c r="J228" s="17">
        <v>916.51</v>
      </c>
      <c r="K228" s="16" t="s">
        <v>48</v>
      </c>
    </row>
    <row r="229" spans="1:11" x14ac:dyDescent="0.35">
      <c r="A229" s="16">
        <v>475117</v>
      </c>
      <c r="B229" s="16" t="s">
        <v>33</v>
      </c>
      <c r="C229" s="17">
        <v>60.69</v>
      </c>
      <c r="D229" s="17">
        <v>0</v>
      </c>
      <c r="E229" s="17">
        <v>854.84</v>
      </c>
      <c r="F229" s="17">
        <v>0</v>
      </c>
      <c r="G229" s="17">
        <v>0</v>
      </c>
      <c r="H229" s="17">
        <v>0</v>
      </c>
      <c r="I229" s="17">
        <v>0</v>
      </c>
      <c r="J229" s="17">
        <v>915.53</v>
      </c>
      <c r="K229" s="16" t="s">
        <v>48</v>
      </c>
    </row>
    <row r="230" spans="1:11" x14ac:dyDescent="0.35">
      <c r="A230" s="16">
        <v>475965</v>
      </c>
      <c r="B230" s="16"/>
      <c r="C230" s="17">
        <v>60.67</v>
      </c>
      <c r="D230" s="17">
        <v>0</v>
      </c>
      <c r="E230" s="17">
        <v>853.22</v>
      </c>
      <c r="F230" s="17">
        <v>0</v>
      </c>
      <c r="G230" s="17">
        <v>0</v>
      </c>
      <c r="H230" s="17">
        <v>0</v>
      </c>
      <c r="I230" s="17">
        <v>0</v>
      </c>
      <c r="J230" s="17">
        <v>913.89</v>
      </c>
      <c r="K230" s="16" t="s">
        <v>48</v>
      </c>
    </row>
    <row r="231" spans="1:11" x14ac:dyDescent="0.35">
      <c r="A231" s="16">
        <v>476988</v>
      </c>
      <c r="B231" s="16" t="s">
        <v>33</v>
      </c>
      <c r="C231" s="17">
        <v>60.65</v>
      </c>
      <c r="D231" s="17">
        <v>0</v>
      </c>
      <c r="E231" s="17">
        <v>851.97</v>
      </c>
      <c r="F231" s="17">
        <v>0</v>
      </c>
      <c r="G231" s="17">
        <v>0</v>
      </c>
      <c r="H231" s="17">
        <v>0</v>
      </c>
      <c r="I231" s="17">
        <v>0</v>
      </c>
      <c r="J231" s="17">
        <v>912.62</v>
      </c>
      <c r="K231" s="16" t="s">
        <v>48</v>
      </c>
    </row>
    <row r="232" spans="1:11" x14ac:dyDescent="0.35">
      <c r="A232" s="16">
        <v>477730</v>
      </c>
      <c r="B232" s="16" t="s">
        <v>33</v>
      </c>
      <c r="C232" s="17">
        <v>60.28</v>
      </c>
      <c r="D232" s="17">
        <v>30</v>
      </c>
      <c r="E232" s="17">
        <v>822.1</v>
      </c>
      <c r="F232" s="17">
        <v>0</v>
      </c>
      <c r="G232" s="17">
        <v>0</v>
      </c>
      <c r="H232" s="17">
        <v>0</v>
      </c>
      <c r="I232" s="17">
        <v>0</v>
      </c>
      <c r="J232" s="17">
        <v>912.38</v>
      </c>
      <c r="K232" s="16" t="s">
        <v>48</v>
      </c>
    </row>
    <row r="233" spans="1:11" x14ac:dyDescent="0.35">
      <c r="A233" s="16">
        <v>476875</v>
      </c>
      <c r="B233" s="16" t="s">
        <v>33</v>
      </c>
      <c r="C233" s="17">
        <v>60.64</v>
      </c>
      <c r="D233" s="17">
        <v>0</v>
      </c>
      <c r="E233" s="17">
        <v>850.86</v>
      </c>
      <c r="F233" s="17">
        <v>0</v>
      </c>
      <c r="G233" s="17">
        <v>0</v>
      </c>
      <c r="H233" s="17">
        <v>0</v>
      </c>
      <c r="I233" s="17">
        <v>0</v>
      </c>
      <c r="J233" s="17">
        <v>911.5</v>
      </c>
      <c r="K233" s="16" t="s">
        <v>48</v>
      </c>
    </row>
    <row r="234" spans="1:11" x14ac:dyDescent="0.35">
      <c r="A234" s="16">
        <v>755062</v>
      </c>
      <c r="B234" s="16" t="s">
        <v>33</v>
      </c>
      <c r="C234" s="17">
        <v>60.63</v>
      </c>
      <c r="D234" s="17">
        <v>0</v>
      </c>
      <c r="E234" s="17">
        <v>850.21</v>
      </c>
      <c r="F234" s="17">
        <v>0</v>
      </c>
      <c r="G234" s="17">
        <v>0</v>
      </c>
      <c r="H234" s="17">
        <v>0</v>
      </c>
      <c r="I234" s="17">
        <v>0</v>
      </c>
      <c r="J234" s="17">
        <v>910.84</v>
      </c>
      <c r="K234" s="16" t="s">
        <v>48</v>
      </c>
    </row>
    <row r="235" spans="1:11" x14ac:dyDescent="0.35">
      <c r="A235" s="16">
        <v>476021</v>
      </c>
      <c r="B235" s="16" t="s">
        <v>33</v>
      </c>
      <c r="C235" s="17">
        <v>60.6</v>
      </c>
      <c r="D235" s="17">
        <v>0</v>
      </c>
      <c r="E235" s="17">
        <v>848.02</v>
      </c>
      <c r="F235" s="17">
        <v>0</v>
      </c>
      <c r="G235" s="17">
        <v>0</v>
      </c>
      <c r="H235" s="17">
        <v>0</v>
      </c>
      <c r="I235" s="17">
        <v>0</v>
      </c>
      <c r="J235" s="17">
        <v>908.62</v>
      </c>
      <c r="K235" s="16" t="s">
        <v>48</v>
      </c>
    </row>
    <row r="236" spans="1:11" x14ac:dyDescent="0.35">
      <c r="A236" s="16">
        <v>476057</v>
      </c>
      <c r="B236" s="16" t="s">
        <v>33</v>
      </c>
      <c r="C236" s="17">
        <v>60.53</v>
      </c>
      <c r="D236" s="17">
        <v>0</v>
      </c>
      <c r="E236" s="17">
        <v>842.36</v>
      </c>
      <c r="F236" s="17">
        <v>0</v>
      </c>
      <c r="G236" s="17">
        <v>0</v>
      </c>
      <c r="H236" s="17">
        <v>0</v>
      </c>
      <c r="I236" s="17">
        <v>0</v>
      </c>
      <c r="J236" s="17">
        <v>902.89</v>
      </c>
      <c r="K236" s="16" t="s">
        <v>48</v>
      </c>
    </row>
    <row r="237" spans="1:11" x14ac:dyDescent="0.35">
      <c r="A237" s="16">
        <v>477086</v>
      </c>
      <c r="B237" s="16" t="s">
        <v>33</v>
      </c>
      <c r="C237" s="17">
        <v>60.5</v>
      </c>
      <c r="D237" s="17">
        <v>0</v>
      </c>
      <c r="E237" s="17">
        <v>840.35</v>
      </c>
      <c r="F237" s="17">
        <v>0</v>
      </c>
      <c r="G237" s="17">
        <v>0</v>
      </c>
      <c r="H237" s="17">
        <v>0</v>
      </c>
      <c r="I237" s="17">
        <v>0</v>
      </c>
      <c r="J237" s="17">
        <v>900.85</v>
      </c>
      <c r="K237" s="16" t="s">
        <v>48</v>
      </c>
    </row>
    <row r="238" spans="1:11" x14ac:dyDescent="0.35">
      <c r="A238" s="16">
        <v>474619</v>
      </c>
      <c r="B238" s="16"/>
      <c r="C238" s="17">
        <v>900.5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900.5</v>
      </c>
      <c r="K238" s="16" t="s">
        <v>48</v>
      </c>
    </row>
    <row r="239" spans="1:11" x14ac:dyDescent="0.35">
      <c r="A239" s="16">
        <v>476829</v>
      </c>
      <c r="B239" s="16" t="s">
        <v>33</v>
      </c>
      <c r="C239" s="17">
        <v>60.48</v>
      </c>
      <c r="D239" s="17">
        <v>0</v>
      </c>
      <c r="E239" s="17">
        <v>838.46</v>
      </c>
      <c r="F239" s="17">
        <v>0</v>
      </c>
      <c r="G239" s="17">
        <v>0</v>
      </c>
      <c r="H239" s="17">
        <v>0</v>
      </c>
      <c r="I239" s="17">
        <v>0</v>
      </c>
      <c r="J239" s="17">
        <v>898.94</v>
      </c>
      <c r="K239" s="16" t="s">
        <v>48</v>
      </c>
    </row>
    <row r="240" spans="1:11" x14ac:dyDescent="0.35">
      <c r="A240" s="16">
        <v>476397</v>
      </c>
      <c r="B240" s="16" t="s">
        <v>33</v>
      </c>
      <c r="C240" s="17">
        <v>60.46</v>
      </c>
      <c r="D240" s="17">
        <v>0</v>
      </c>
      <c r="E240" s="17">
        <v>836.55</v>
      </c>
      <c r="F240" s="17">
        <v>0</v>
      </c>
      <c r="G240" s="17">
        <v>0</v>
      </c>
      <c r="H240" s="17">
        <v>0</v>
      </c>
      <c r="I240" s="17">
        <v>0</v>
      </c>
      <c r="J240" s="17">
        <v>897.01</v>
      </c>
      <c r="K240" s="16" t="s">
        <v>48</v>
      </c>
    </row>
    <row r="241" spans="1:11" x14ac:dyDescent="0.35">
      <c r="A241" s="16">
        <v>476393</v>
      </c>
      <c r="B241" s="16" t="s">
        <v>33</v>
      </c>
      <c r="C241" s="17">
        <v>60.39</v>
      </c>
      <c r="D241" s="17">
        <v>0</v>
      </c>
      <c r="E241" s="17">
        <v>831.42</v>
      </c>
      <c r="F241" s="17">
        <v>0</v>
      </c>
      <c r="G241" s="17">
        <v>0</v>
      </c>
      <c r="H241" s="17">
        <v>0</v>
      </c>
      <c r="I241" s="17">
        <v>0</v>
      </c>
      <c r="J241" s="17">
        <v>891.81</v>
      </c>
      <c r="K241" s="16" t="s">
        <v>48</v>
      </c>
    </row>
    <row r="242" spans="1:11" x14ac:dyDescent="0.35">
      <c r="A242" s="16">
        <v>478435</v>
      </c>
      <c r="B242" s="16"/>
      <c r="C242" s="17">
        <v>451.9</v>
      </c>
      <c r="D242" s="17">
        <v>0</v>
      </c>
      <c r="E242" s="17">
        <v>437.48</v>
      </c>
      <c r="F242" s="17">
        <v>0</v>
      </c>
      <c r="G242" s="17">
        <v>0</v>
      </c>
      <c r="H242" s="17">
        <v>0</v>
      </c>
      <c r="I242" s="17">
        <v>0</v>
      </c>
      <c r="J242" s="17">
        <v>889.38</v>
      </c>
      <c r="K242" s="16" t="s">
        <v>48</v>
      </c>
    </row>
    <row r="243" spans="1:11" x14ac:dyDescent="0.35">
      <c r="A243" s="16">
        <v>478726</v>
      </c>
      <c r="B243" s="16" t="s">
        <v>33</v>
      </c>
      <c r="C243" s="17">
        <v>60.34</v>
      </c>
      <c r="D243" s="17">
        <v>0</v>
      </c>
      <c r="E243" s="17">
        <v>827.6</v>
      </c>
      <c r="F243" s="17">
        <v>0</v>
      </c>
      <c r="G243" s="17">
        <v>0</v>
      </c>
      <c r="H243" s="17">
        <v>0</v>
      </c>
      <c r="I243" s="17">
        <v>0</v>
      </c>
      <c r="J243" s="17">
        <v>887.94</v>
      </c>
      <c r="K243" s="16" t="s">
        <v>48</v>
      </c>
    </row>
    <row r="244" spans="1:11" x14ac:dyDescent="0.35">
      <c r="A244" s="16">
        <v>785836</v>
      </c>
      <c r="B244" s="16"/>
      <c r="C244" s="17">
        <v>60.29</v>
      </c>
      <c r="D244" s="17">
        <v>0</v>
      </c>
      <c r="E244" s="17">
        <v>823.39</v>
      </c>
      <c r="F244" s="17">
        <v>0</v>
      </c>
      <c r="G244" s="17">
        <v>0</v>
      </c>
      <c r="H244" s="17">
        <v>0</v>
      </c>
      <c r="I244" s="17">
        <v>0</v>
      </c>
      <c r="J244" s="17">
        <v>883.68</v>
      </c>
      <c r="K244" s="16" t="s">
        <v>48</v>
      </c>
    </row>
    <row r="245" spans="1:11" x14ac:dyDescent="0.35">
      <c r="A245" s="16">
        <v>477638</v>
      </c>
      <c r="B245" s="16" t="s">
        <v>33</v>
      </c>
      <c r="C245" s="17">
        <v>60.27</v>
      </c>
      <c r="D245" s="17">
        <v>0</v>
      </c>
      <c r="E245" s="17">
        <v>821.79</v>
      </c>
      <c r="F245" s="17">
        <v>0</v>
      </c>
      <c r="G245" s="17">
        <v>0</v>
      </c>
      <c r="H245" s="17">
        <v>0</v>
      </c>
      <c r="I245" s="17">
        <v>0</v>
      </c>
      <c r="J245" s="17">
        <v>882.06</v>
      </c>
      <c r="K245" s="16" t="s">
        <v>48</v>
      </c>
    </row>
    <row r="246" spans="1:11" x14ac:dyDescent="0.35">
      <c r="A246" s="16">
        <v>475886</v>
      </c>
      <c r="B246" s="16"/>
      <c r="C246" s="17">
        <v>60.27</v>
      </c>
      <c r="D246" s="17">
        <v>0</v>
      </c>
      <c r="E246" s="17">
        <v>821.37</v>
      </c>
      <c r="F246" s="17">
        <v>0</v>
      </c>
      <c r="G246" s="17">
        <v>0</v>
      </c>
      <c r="H246" s="17">
        <v>0</v>
      </c>
      <c r="I246" s="17">
        <v>0</v>
      </c>
      <c r="J246" s="17">
        <v>881.64</v>
      </c>
      <c r="K246" s="16" t="s">
        <v>48</v>
      </c>
    </row>
    <row r="247" spans="1:11" x14ac:dyDescent="0.35">
      <c r="A247" s="16">
        <v>476729</v>
      </c>
      <c r="B247" s="16" t="s">
        <v>33</v>
      </c>
      <c r="C247" s="17">
        <v>60.24</v>
      </c>
      <c r="D247" s="17">
        <v>0</v>
      </c>
      <c r="E247" s="17">
        <v>819.6</v>
      </c>
      <c r="F247" s="17">
        <v>0</v>
      </c>
      <c r="G247" s="17">
        <v>0</v>
      </c>
      <c r="H247" s="17">
        <v>0</v>
      </c>
      <c r="I247" s="17">
        <v>0</v>
      </c>
      <c r="J247" s="17">
        <v>879.84</v>
      </c>
      <c r="K247" s="16" t="s">
        <v>48</v>
      </c>
    </row>
    <row r="248" spans="1:11" x14ac:dyDescent="0.35">
      <c r="A248" s="16">
        <v>477113</v>
      </c>
      <c r="B248" s="16"/>
      <c r="C248" s="17">
        <v>60.24</v>
      </c>
      <c r="D248" s="17">
        <v>0</v>
      </c>
      <c r="E248" s="17">
        <v>819</v>
      </c>
      <c r="F248" s="17">
        <v>0</v>
      </c>
      <c r="G248" s="17">
        <v>0</v>
      </c>
      <c r="H248" s="17">
        <v>0</v>
      </c>
      <c r="I248" s="17">
        <v>0</v>
      </c>
      <c r="J248" s="17">
        <v>879.24</v>
      </c>
      <c r="K248" s="16" t="s">
        <v>48</v>
      </c>
    </row>
    <row r="249" spans="1:11" x14ac:dyDescent="0.35">
      <c r="A249" s="16">
        <v>476188</v>
      </c>
      <c r="B249" s="16" t="s">
        <v>33</v>
      </c>
      <c r="C249" s="17">
        <v>60.22</v>
      </c>
      <c r="D249" s="17">
        <v>0</v>
      </c>
      <c r="E249" s="17">
        <v>817.86</v>
      </c>
      <c r="F249" s="17">
        <v>0</v>
      </c>
      <c r="G249" s="17">
        <v>0</v>
      </c>
      <c r="H249" s="17">
        <v>0</v>
      </c>
      <c r="I249" s="17">
        <v>0</v>
      </c>
      <c r="J249" s="17">
        <v>878.08</v>
      </c>
      <c r="K249" s="16" t="s">
        <v>48</v>
      </c>
    </row>
    <row r="250" spans="1:11" x14ac:dyDescent="0.35">
      <c r="A250" s="16">
        <v>477554</v>
      </c>
      <c r="B250" s="16" t="s">
        <v>34</v>
      </c>
      <c r="C250" s="17">
        <v>60.51</v>
      </c>
      <c r="D250" s="17">
        <v>0</v>
      </c>
      <c r="E250" s="17">
        <v>640.54</v>
      </c>
      <c r="F250" s="17">
        <v>0</v>
      </c>
      <c r="G250" s="17">
        <v>0</v>
      </c>
      <c r="H250" s="17">
        <v>0</v>
      </c>
      <c r="I250" s="17">
        <v>175</v>
      </c>
      <c r="J250" s="17">
        <v>876.05</v>
      </c>
      <c r="K250" s="16" t="s">
        <v>48</v>
      </c>
    </row>
    <row r="251" spans="1:11" x14ac:dyDescent="0.35">
      <c r="A251" s="16">
        <v>629369</v>
      </c>
      <c r="B251" s="16"/>
      <c r="C251" s="17">
        <v>60.14</v>
      </c>
      <c r="D251" s="17">
        <v>0</v>
      </c>
      <c r="E251" s="17">
        <v>811.48</v>
      </c>
      <c r="F251" s="17">
        <v>0</v>
      </c>
      <c r="G251" s="17">
        <v>0</v>
      </c>
      <c r="H251" s="17">
        <v>0</v>
      </c>
      <c r="I251" s="17">
        <v>0</v>
      </c>
      <c r="J251" s="17">
        <v>871.62</v>
      </c>
      <c r="K251" s="16" t="s">
        <v>48</v>
      </c>
    </row>
    <row r="252" spans="1:11" x14ac:dyDescent="0.35">
      <c r="A252" s="16">
        <v>475431</v>
      </c>
      <c r="B252" s="16" t="s">
        <v>33</v>
      </c>
      <c r="C252" s="17">
        <v>66.39</v>
      </c>
      <c r="D252" s="17">
        <v>0</v>
      </c>
      <c r="E252" s="17">
        <v>804.86</v>
      </c>
      <c r="F252" s="17">
        <v>0</v>
      </c>
      <c r="G252" s="17">
        <v>0</v>
      </c>
      <c r="H252" s="17">
        <v>0</v>
      </c>
      <c r="I252" s="17">
        <v>0</v>
      </c>
      <c r="J252" s="17">
        <v>871.25</v>
      </c>
      <c r="K252" s="16" t="s">
        <v>48</v>
      </c>
    </row>
    <row r="253" spans="1:11" x14ac:dyDescent="0.35">
      <c r="A253" s="16">
        <v>475284</v>
      </c>
      <c r="B253" s="16"/>
      <c r="C253" s="17">
        <v>13.5</v>
      </c>
      <c r="D253" s="17">
        <v>857.6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871.1</v>
      </c>
      <c r="K253" s="16" t="s">
        <v>48</v>
      </c>
    </row>
    <row r="254" spans="1:11" x14ac:dyDescent="0.35">
      <c r="A254" s="16">
        <v>475869</v>
      </c>
      <c r="B254" s="16" t="s">
        <v>33</v>
      </c>
      <c r="C254" s="17">
        <v>60.12</v>
      </c>
      <c r="D254" s="17">
        <v>0</v>
      </c>
      <c r="E254" s="17">
        <v>810</v>
      </c>
      <c r="F254" s="17">
        <v>0</v>
      </c>
      <c r="G254" s="17">
        <v>0</v>
      </c>
      <c r="H254" s="17">
        <v>0</v>
      </c>
      <c r="I254" s="17">
        <v>0</v>
      </c>
      <c r="J254" s="17">
        <v>870.12</v>
      </c>
      <c r="K254" s="16" t="s">
        <v>48</v>
      </c>
    </row>
    <row r="255" spans="1:11" x14ac:dyDescent="0.35">
      <c r="A255" s="16">
        <v>474803</v>
      </c>
      <c r="B255" s="16"/>
      <c r="C255" s="17">
        <v>0</v>
      </c>
      <c r="D255" s="17">
        <v>0</v>
      </c>
      <c r="E255" s="17">
        <v>0</v>
      </c>
      <c r="F255" s="17">
        <v>0</v>
      </c>
      <c r="G255" s="17">
        <v>868.25</v>
      </c>
      <c r="H255" s="17">
        <v>0</v>
      </c>
      <c r="I255" s="17">
        <v>0</v>
      </c>
      <c r="J255" s="17">
        <v>868.25</v>
      </c>
      <c r="K255" s="16" t="s">
        <v>48</v>
      </c>
    </row>
    <row r="256" spans="1:11" x14ac:dyDescent="0.35">
      <c r="A256" s="16">
        <v>628058</v>
      </c>
      <c r="B256" s="16"/>
      <c r="C256" s="17">
        <v>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865.61</v>
      </c>
      <c r="J256" s="17">
        <v>865.61</v>
      </c>
      <c r="K256" s="16" t="s">
        <v>48</v>
      </c>
    </row>
    <row r="257" spans="1:11" x14ac:dyDescent="0.35">
      <c r="A257" s="16">
        <v>476443</v>
      </c>
      <c r="B257" s="16"/>
      <c r="C257" s="17">
        <v>60.06</v>
      </c>
      <c r="D257" s="17">
        <v>0</v>
      </c>
      <c r="E257" s="17">
        <v>804.6</v>
      </c>
      <c r="F257" s="17">
        <v>0</v>
      </c>
      <c r="G257" s="17">
        <v>0</v>
      </c>
      <c r="H257" s="17">
        <v>0</v>
      </c>
      <c r="I257" s="17">
        <v>0</v>
      </c>
      <c r="J257" s="17">
        <v>864.66</v>
      </c>
      <c r="K257" s="16" t="s">
        <v>48</v>
      </c>
    </row>
    <row r="258" spans="1:11" x14ac:dyDescent="0.35">
      <c r="A258" s="16">
        <v>475983</v>
      </c>
      <c r="B258" s="16"/>
      <c r="C258" s="17">
        <v>60.02</v>
      </c>
      <c r="D258" s="17">
        <v>0</v>
      </c>
      <c r="E258" s="17">
        <v>801.88</v>
      </c>
      <c r="F258" s="17">
        <v>0</v>
      </c>
      <c r="G258" s="17">
        <v>0</v>
      </c>
      <c r="H258" s="17">
        <v>0</v>
      </c>
      <c r="I258" s="17">
        <v>0</v>
      </c>
      <c r="J258" s="17">
        <v>861.9</v>
      </c>
      <c r="K258" s="16" t="s">
        <v>48</v>
      </c>
    </row>
    <row r="259" spans="1:11" x14ac:dyDescent="0.35">
      <c r="A259" s="16">
        <v>477076</v>
      </c>
      <c r="B259" s="16" t="s">
        <v>33</v>
      </c>
      <c r="C259" s="17">
        <v>60</v>
      </c>
      <c r="D259" s="17">
        <v>0</v>
      </c>
      <c r="E259" s="17">
        <v>799.81</v>
      </c>
      <c r="F259" s="17">
        <v>0</v>
      </c>
      <c r="G259" s="17">
        <v>0</v>
      </c>
      <c r="H259" s="17">
        <v>0</v>
      </c>
      <c r="I259" s="17">
        <v>0</v>
      </c>
      <c r="J259" s="17">
        <v>859.81</v>
      </c>
      <c r="K259" s="16" t="s">
        <v>48</v>
      </c>
    </row>
    <row r="260" spans="1:11" x14ac:dyDescent="0.35">
      <c r="A260" s="16">
        <v>475424</v>
      </c>
      <c r="B260" s="16" t="s">
        <v>33</v>
      </c>
      <c r="C260" s="17">
        <v>59.93</v>
      </c>
      <c r="D260" s="17">
        <v>0</v>
      </c>
      <c r="E260" s="17">
        <v>794.05</v>
      </c>
      <c r="F260" s="17">
        <v>0</v>
      </c>
      <c r="G260" s="17">
        <v>0</v>
      </c>
      <c r="H260" s="17">
        <v>0</v>
      </c>
      <c r="I260" s="17">
        <v>0</v>
      </c>
      <c r="J260" s="17">
        <v>853.98</v>
      </c>
      <c r="K260" s="16" t="s">
        <v>48</v>
      </c>
    </row>
    <row r="261" spans="1:11" x14ac:dyDescent="0.35">
      <c r="A261" s="16">
        <v>475953</v>
      </c>
      <c r="B261" s="16" t="s">
        <v>33</v>
      </c>
      <c r="C261" s="17">
        <v>59.9</v>
      </c>
      <c r="D261" s="17">
        <v>0</v>
      </c>
      <c r="E261" s="17">
        <v>791.66</v>
      </c>
      <c r="F261" s="17">
        <v>0</v>
      </c>
      <c r="G261" s="17">
        <v>0</v>
      </c>
      <c r="H261" s="17">
        <v>0</v>
      </c>
      <c r="I261" s="17">
        <v>0</v>
      </c>
      <c r="J261" s="17">
        <v>851.56</v>
      </c>
      <c r="K261" s="16" t="s">
        <v>48</v>
      </c>
    </row>
    <row r="262" spans="1:11" x14ac:dyDescent="0.35">
      <c r="A262" s="16">
        <v>476105</v>
      </c>
      <c r="B262" s="16" t="s">
        <v>33</v>
      </c>
      <c r="C262" s="17">
        <v>59.86</v>
      </c>
      <c r="D262" s="17">
        <v>0</v>
      </c>
      <c r="E262" s="17">
        <v>788.98</v>
      </c>
      <c r="F262" s="17">
        <v>0</v>
      </c>
      <c r="G262" s="17">
        <v>0</v>
      </c>
      <c r="H262" s="17">
        <v>0</v>
      </c>
      <c r="I262" s="17">
        <v>0</v>
      </c>
      <c r="J262" s="17">
        <v>848.84</v>
      </c>
      <c r="K262" s="16" t="s">
        <v>48</v>
      </c>
    </row>
    <row r="263" spans="1:11" x14ac:dyDescent="0.35">
      <c r="A263" s="16">
        <v>475691</v>
      </c>
      <c r="B263" s="16" t="s">
        <v>35</v>
      </c>
      <c r="C263" s="17">
        <v>59.85</v>
      </c>
      <c r="D263" s="17">
        <v>0</v>
      </c>
      <c r="E263" s="17">
        <v>787.93</v>
      </c>
      <c r="F263" s="17">
        <v>0</v>
      </c>
      <c r="G263" s="17">
        <v>0</v>
      </c>
      <c r="H263" s="17">
        <v>0</v>
      </c>
      <c r="I263" s="17">
        <v>0</v>
      </c>
      <c r="J263" s="17">
        <v>847.78</v>
      </c>
      <c r="K263" s="16" t="s">
        <v>48</v>
      </c>
    </row>
    <row r="264" spans="1:11" x14ac:dyDescent="0.35">
      <c r="A264" s="16">
        <v>700884</v>
      </c>
      <c r="B264" s="16"/>
      <c r="C264" s="17">
        <v>59.84</v>
      </c>
      <c r="D264" s="17">
        <v>0</v>
      </c>
      <c r="E264" s="17">
        <v>787.34</v>
      </c>
      <c r="F264" s="17">
        <v>0</v>
      </c>
      <c r="G264" s="17">
        <v>0</v>
      </c>
      <c r="H264" s="17">
        <v>0</v>
      </c>
      <c r="I264" s="17">
        <v>0</v>
      </c>
      <c r="J264" s="17">
        <v>847.18</v>
      </c>
      <c r="K264" s="16" t="s">
        <v>48</v>
      </c>
    </row>
    <row r="265" spans="1:11" x14ac:dyDescent="0.35">
      <c r="A265" s="16">
        <v>476872</v>
      </c>
      <c r="B265" s="16" t="s">
        <v>33</v>
      </c>
      <c r="C265" s="17">
        <v>59.8</v>
      </c>
      <c r="D265" s="17">
        <v>0</v>
      </c>
      <c r="E265" s="17">
        <v>784.06</v>
      </c>
      <c r="F265" s="17">
        <v>0</v>
      </c>
      <c r="G265" s="17">
        <v>0</v>
      </c>
      <c r="H265" s="17">
        <v>0</v>
      </c>
      <c r="I265" s="17">
        <v>0</v>
      </c>
      <c r="J265" s="17">
        <v>843.86</v>
      </c>
      <c r="K265" s="16" t="s">
        <v>48</v>
      </c>
    </row>
    <row r="266" spans="1:11" x14ac:dyDescent="0.35">
      <c r="A266" s="16">
        <v>477131</v>
      </c>
      <c r="B266" s="16" t="s">
        <v>33</v>
      </c>
      <c r="C266" s="17">
        <v>59.78</v>
      </c>
      <c r="D266" s="17">
        <v>0</v>
      </c>
      <c r="E266" s="17">
        <v>782.23</v>
      </c>
      <c r="F266" s="17">
        <v>0</v>
      </c>
      <c r="G266" s="17">
        <v>0</v>
      </c>
      <c r="H266" s="17">
        <v>0</v>
      </c>
      <c r="I266" s="17">
        <v>0</v>
      </c>
      <c r="J266" s="17">
        <v>842.01</v>
      </c>
      <c r="K266" s="16" t="s">
        <v>48</v>
      </c>
    </row>
    <row r="267" spans="1:11" x14ac:dyDescent="0.35">
      <c r="A267" s="16">
        <v>475823</v>
      </c>
      <c r="B267" s="16"/>
      <c r="C267" s="17">
        <v>59.78</v>
      </c>
      <c r="D267" s="17">
        <v>0</v>
      </c>
      <c r="E267" s="17">
        <v>782.03</v>
      </c>
      <c r="F267" s="17">
        <v>0</v>
      </c>
      <c r="G267" s="17">
        <v>0</v>
      </c>
      <c r="H267" s="17">
        <v>0</v>
      </c>
      <c r="I267" s="17">
        <v>0</v>
      </c>
      <c r="J267" s="17">
        <v>841.81</v>
      </c>
      <c r="K267" s="16" t="s">
        <v>48</v>
      </c>
    </row>
    <row r="268" spans="1:11" x14ac:dyDescent="0.35">
      <c r="A268" s="16">
        <v>478612</v>
      </c>
      <c r="B268" s="16" t="s">
        <v>33</v>
      </c>
      <c r="C268" s="17">
        <v>59.75</v>
      </c>
      <c r="D268" s="17">
        <v>0</v>
      </c>
      <c r="E268" s="17">
        <v>780.38</v>
      </c>
      <c r="F268" s="17">
        <v>0</v>
      </c>
      <c r="G268" s="17">
        <v>0</v>
      </c>
      <c r="H268" s="17">
        <v>0</v>
      </c>
      <c r="I268" s="17">
        <v>0</v>
      </c>
      <c r="J268" s="17">
        <v>840.13</v>
      </c>
      <c r="K268" s="16" t="s">
        <v>48</v>
      </c>
    </row>
    <row r="269" spans="1:11" x14ac:dyDescent="0.35">
      <c r="A269" s="16">
        <v>819593</v>
      </c>
      <c r="B269" s="16"/>
      <c r="C269" s="17">
        <v>59.75</v>
      </c>
      <c r="D269" s="17">
        <v>0</v>
      </c>
      <c r="E269" s="17">
        <v>780.26</v>
      </c>
      <c r="F269" s="17">
        <v>0</v>
      </c>
      <c r="G269" s="17">
        <v>0</v>
      </c>
      <c r="H269" s="17">
        <v>0</v>
      </c>
      <c r="I269" s="17">
        <v>0</v>
      </c>
      <c r="J269" s="17">
        <v>840.01</v>
      </c>
      <c r="K269" s="16" t="s">
        <v>48</v>
      </c>
    </row>
    <row r="270" spans="1:11" x14ac:dyDescent="0.35">
      <c r="A270" s="16">
        <v>474692</v>
      </c>
      <c r="B270" s="16"/>
      <c r="C270" s="17">
        <v>0</v>
      </c>
      <c r="D270" s="17">
        <v>0</v>
      </c>
      <c r="E270" s="17">
        <v>0</v>
      </c>
      <c r="F270" s="17">
        <v>0</v>
      </c>
      <c r="G270" s="17">
        <v>24.69</v>
      </c>
      <c r="H270" s="17">
        <v>0</v>
      </c>
      <c r="I270" s="17">
        <v>811.56</v>
      </c>
      <c r="J270" s="17">
        <v>836.25</v>
      </c>
      <c r="K270" s="16" t="s">
        <v>48</v>
      </c>
    </row>
    <row r="271" spans="1:11" x14ac:dyDescent="0.35">
      <c r="A271" s="16">
        <v>477513</v>
      </c>
      <c r="B271" s="16" t="s">
        <v>33</v>
      </c>
      <c r="C271" s="17">
        <v>59.58</v>
      </c>
      <c r="D271" s="17">
        <v>0</v>
      </c>
      <c r="E271" s="17">
        <v>766.52</v>
      </c>
      <c r="F271" s="17">
        <v>0</v>
      </c>
      <c r="G271" s="17">
        <v>0</v>
      </c>
      <c r="H271" s="17">
        <v>0</v>
      </c>
      <c r="I271" s="17">
        <v>2.97</v>
      </c>
      <c r="J271" s="17">
        <v>829.07</v>
      </c>
      <c r="K271" s="16" t="s">
        <v>48</v>
      </c>
    </row>
    <row r="272" spans="1:11" x14ac:dyDescent="0.35">
      <c r="A272" s="16">
        <v>475392</v>
      </c>
      <c r="B272" s="16"/>
      <c r="C272" s="17">
        <v>59.58</v>
      </c>
      <c r="D272" s="17">
        <v>0</v>
      </c>
      <c r="E272" s="17">
        <v>766.74</v>
      </c>
      <c r="F272" s="17">
        <v>0</v>
      </c>
      <c r="G272" s="17">
        <v>0</v>
      </c>
      <c r="H272" s="17">
        <v>0</v>
      </c>
      <c r="I272" s="17">
        <v>0</v>
      </c>
      <c r="J272" s="17">
        <v>826.32</v>
      </c>
      <c r="K272" s="16" t="s">
        <v>48</v>
      </c>
    </row>
    <row r="273" spans="1:11" x14ac:dyDescent="0.35">
      <c r="A273" s="16">
        <v>478702</v>
      </c>
      <c r="B273" s="16" t="s">
        <v>33</v>
      </c>
      <c r="C273" s="17">
        <v>62.3</v>
      </c>
      <c r="D273" s="17">
        <v>0</v>
      </c>
      <c r="E273" s="17">
        <v>683.77</v>
      </c>
      <c r="F273" s="17">
        <v>0</v>
      </c>
      <c r="G273" s="17">
        <v>0</v>
      </c>
      <c r="H273" s="17">
        <v>0</v>
      </c>
      <c r="I273" s="17">
        <v>77.27</v>
      </c>
      <c r="J273" s="17">
        <v>823.34</v>
      </c>
      <c r="K273" s="16" t="s">
        <v>48</v>
      </c>
    </row>
    <row r="274" spans="1:11" x14ac:dyDescent="0.35">
      <c r="A274" s="16">
        <v>476121</v>
      </c>
      <c r="B274" s="16" t="s">
        <v>33</v>
      </c>
      <c r="C274" s="17">
        <v>59.5</v>
      </c>
      <c r="D274" s="17">
        <v>0</v>
      </c>
      <c r="E274" s="17">
        <v>759.93</v>
      </c>
      <c r="F274" s="17">
        <v>0</v>
      </c>
      <c r="G274" s="17">
        <v>0</v>
      </c>
      <c r="H274" s="17">
        <v>0</v>
      </c>
      <c r="I274" s="17">
        <v>0</v>
      </c>
      <c r="J274" s="17">
        <v>819.43</v>
      </c>
      <c r="K274" s="16" t="s">
        <v>48</v>
      </c>
    </row>
    <row r="275" spans="1:11" x14ac:dyDescent="0.35">
      <c r="A275" s="16">
        <v>475062</v>
      </c>
      <c r="B275" s="16" t="s">
        <v>30</v>
      </c>
      <c r="C275" s="17">
        <v>0</v>
      </c>
      <c r="D275" s="17">
        <v>0</v>
      </c>
      <c r="E275" s="17">
        <v>812.07</v>
      </c>
      <c r="F275" s="17">
        <v>0</v>
      </c>
      <c r="G275" s="17">
        <v>0</v>
      </c>
      <c r="H275" s="17">
        <v>0</v>
      </c>
      <c r="I275" s="17">
        <v>0</v>
      </c>
      <c r="J275" s="17">
        <v>812.07</v>
      </c>
      <c r="K275" s="16" t="s">
        <v>48</v>
      </c>
    </row>
    <row r="276" spans="1:11" x14ac:dyDescent="0.35">
      <c r="A276" s="16">
        <v>475379</v>
      </c>
      <c r="B276" s="16" t="s">
        <v>33</v>
      </c>
      <c r="C276" s="17">
        <v>59.37</v>
      </c>
      <c r="D276" s="17">
        <v>0</v>
      </c>
      <c r="E276" s="17">
        <v>749.23</v>
      </c>
      <c r="F276" s="17">
        <v>0</v>
      </c>
      <c r="G276" s="17">
        <v>0</v>
      </c>
      <c r="H276" s="17">
        <v>0</v>
      </c>
      <c r="I276" s="17">
        <v>0</v>
      </c>
      <c r="J276" s="17">
        <v>808.6</v>
      </c>
      <c r="K276" s="16" t="s">
        <v>48</v>
      </c>
    </row>
    <row r="277" spans="1:11" x14ac:dyDescent="0.35">
      <c r="A277" s="16">
        <v>475550</v>
      </c>
      <c r="B277" s="16"/>
      <c r="C277" s="17">
        <v>59.36</v>
      </c>
      <c r="D277" s="17">
        <v>0</v>
      </c>
      <c r="E277" s="17">
        <v>748.42</v>
      </c>
      <c r="F277" s="17">
        <v>0</v>
      </c>
      <c r="G277" s="17">
        <v>0</v>
      </c>
      <c r="H277" s="17">
        <v>0</v>
      </c>
      <c r="I277" s="17">
        <v>0</v>
      </c>
      <c r="J277" s="17">
        <v>807.78</v>
      </c>
      <c r="K277" s="16" t="s">
        <v>48</v>
      </c>
    </row>
    <row r="278" spans="1:11" x14ac:dyDescent="0.35">
      <c r="A278" s="16">
        <v>476296</v>
      </c>
      <c r="B278" s="16" t="s">
        <v>33</v>
      </c>
      <c r="C278" s="17">
        <v>59.25</v>
      </c>
      <c r="D278" s="17">
        <v>0</v>
      </c>
      <c r="E278" s="17">
        <v>740.02</v>
      </c>
      <c r="F278" s="17">
        <v>0</v>
      </c>
      <c r="G278" s="17">
        <v>0</v>
      </c>
      <c r="H278" s="17">
        <v>0</v>
      </c>
      <c r="I278" s="17">
        <v>0</v>
      </c>
      <c r="J278" s="17">
        <v>799.27</v>
      </c>
      <c r="K278" s="16" t="s">
        <v>48</v>
      </c>
    </row>
    <row r="279" spans="1:11" x14ac:dyDescent="0.35">
      <c r="A279" s="16">
        <v>475412</v>
      </c>
      <c r="B279" s="16"/>
      <c r="C279" s="17">
        <v>59.24</v>
      </c>
      <c r="D279" s="17">
        <v>0</v>
      </c>
      <c r="E279" s="17">
        <v>739.39</v>
      </c>
      <c r="F279" s="17">
        <v>0</v>
      </c>
      <c r="G279" s="17">
        <v>0</v>
      </c>
      <c r="H279" s="17">
        <v>0</v>
      </c>
      <c r="I279" s="17">
        <v>0.01</v>
      </c>
      <c r="J279" s="17">
        <v>798.64</v>
      </c>
      <c r="K279" s="16" t="s">
        <v>48</v>
      </c>
    </row>
    <row r="280" spans="1:11" x14ac:dyDescent="0.35">
      <c r="A280" s="16">
        <v>475249</v>
      </c>
      <c r="B280" s="16" t="s">
        <v>33</v>
      </c>
      <c r="C280" s="17">
        <v>59.22</v>
      </c>
      <c r="D280" s="17">
        <v>0</v>
      </c>
      <c r="E280" s="17">
        <v>737.86</v>
      </c>
      <c r="F280" s="17">
        <v>0</v>
      </c>
      <c r="G280" s="17">
        <v>0</v>
      </c>
      <c r="H280" s="17">
        <v>0</v>
      </c>
      <c r="I280" s="17">
        <v>0</v>
      </c>
      <c r="J280" s="17">
        <v>797.08</v>
      </c>
      <c r="K280" s="16" t="s">
        <v>48</v>
      </c>
    </row>
    <row r="281" spans="1:11" x14ac:dyDescent="0.35">
      <c r="A281" s="16">
        <v>475395</v>
      </c>
      <c r="B281" s="16" t="s">
        <v>33</v>
      </c>
      <c r="C281" s="17">
        <v>59.05</v>
      </c>
      <c r="D281" s="17">
        <v>0</v>
      </c>
      <c r="E281" s="17">
        <v>723.97</v>
      </c>
      <c r="F281" s="17">
        <v>0</v>
      </c>
      <c r="G281" s="17">
        <v>0</v>
      </c>
      <c r="H281" s="17">
        <v>0</v>
      </c>
      <c r="I281" s="17">
        <v>0</v>
      </c>
      <c r="J281" s="17">
        <v>783.02</v>
      </c>
      <c r="K281" s="16" t="s">
        <v>48</v>
      </c>
    </row>
    <row r="282" spans="1:11" x14ac:dyDescent="0.35">
      <c r="A282" s="16">
        <v>724008</v>
      </c>
      <c r="B282" s="16" t="s">
        <v>33</v>
      </c>
      <c r="C282" s="17">
        <v>59.02</v>
      </c>
      <c r="D282" s="17">
        <v>0</v>
      </c>
      <c r="E282" s="17">
        <v>721.67</v>
      </c>
      <c r="F282" s="17">
        <v>0</v>
      </c>
      <c r="G282" s="17">
        <v>0</v>
      </c>
      <c r="H282" s="17">
        <v>0</v>
      </c>
      <c r="I282" s="17">
        <v>0</v>
      </c>
      <c r="J282" s="17">
        <v>780.69</v>
      </c>
      <c r="K282" s="16" t="s">
        <v>48</v>
      </c>
    </row>
    <row r="283" spans="1:11" x14ac:dyDescent="0.35">
      <c r="A283" s="16">
        <v>522479</v>
      </c>
      <c r="B283" s="16" t="s">
        <v>33</v>
      </c>
      <c r="C283" s="17">
        <v>58.95</v>
      </c>
      <c r="D283" s="17">
        <v>0</v>
      </c>
      <c r="E283" s="17">
        <v>715.63</v>
      </c>
      <c r="F283" s="17">
        <v>0</v>
      </c>
      <c r="G283" s="17">
        <v>0</v>
      </c>
      <c r="H283" s="17">
        <v>0</v>
      </c>
      <c r="I283" s="17">
        <v>0</v>
      </c>
      <c r="J283" s="17">
        <v>774.58</v>
      </c>
      <c r="K283" s="16" t="s">
        <v>48</v>
      </c>
    </row>
    <row r="284" spans="1:11" x14ac:dyDescent="0.35">
      <c r="A284" s="16">
        <v>478032</v>
      </c>
      <c r="B284" s="16" t="s">
        <v>33</v>
      </c>
      <c r="C284" s="17">
        <v>58.92</v>
      </c>
      <c r="D284" s="17">
        <v>0</v>
      </c>
      <c r="E284" s="17">
        <v>713.98</v>
      </c>
      <c r="F284" s="17">
        <v>0</v>
      </c>
      <c r="G284" s="17">
        <v>0</v>
      </c>
      <c r="H284" s="17">
        <v>0</v>
      </c>
      <c r="I284" s="17">
        <v>0</v>
      </c>
      <c r="J284" s="17">
        <v>772.9</v>
      </c>
      <c r="K284" s="16" t="s">
        <v>48</v>
      </c>
    </row>
    <row r="285" spans="1:11" x14ac:dyDescent="0.35">
      <c r="A285" s="16">
        <v>475048</v>
      </c>
      <c r="B285" s="16"/>
      <c r="C285" s="17">
        <v>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772.64</v>
      </c>
      <c r="J285" s="17">
        <v>772.64</v>
      </c>
      <c r="K285" s="16" t="s">
        <v>48</v>
      </c>
    </row>
    <row r="286" spans="1:11" x14ac:dyDescent="0.35">
      <c r="A286" s="16">
        <v>476049</v>
      </c>
      <c r="B286" s="16"/>
      <c r="C286" s="17">
        <v>58.9</v>
      </c>
      <c r="D286" s="17">
        <v>0</v>
      </c>
      <c r="E286" s="17">
        <v>712.4</v>
      </c>
      <c r="F286" s="17">
        <v>0</v>
      </c>
      <c r="G286" s="17">
        <v>0</v>
      </c>
      <c r="H286" s="17">
        <v>0</v>
      </c>
      <c r="I286" s="17">
        <v>0</v>
      </c>
      <c r="J286" s="17">
        <v>771.3</v>
      </c>
      <c r="K286" s="16" t="s">
        <v>48</v>
      </c>
    </row>
    <row r="287" spans="1:11" x14ac:dyDescent="0.35">
      <c r="A287" s="16">
        <v>840478</v>
      </c>
      <c r="B287" s="16" t="s">
        <v>33</v>
      </c>
      <c r="C287" s="17">
        <v>58.89</v>
      </c>
      <c r="D287" s="17">
        <v>0</v>
      </c>
      <c r="E287" s="17">
        <v>711.5</v>
      </c>
      <c r="F287" s="17">
        <v>0</v>
      </c>
      <c r="G287" s="17">
        <v>0</v>
      </c>
      <c r="H287" s="17">
        <v>0</v>
      </c>
      <c r="I287" s="17">
        <v>0</v>
      </c>
      <c r="J287" s="17">
        <v>770.39</v>
      </c>
      <c r="K287" s="16" t="s">
        <v>48</v>
      </c>
    </row>
    <row r="288" spans="1:11" x14ac:dyDescent="0.35">
      <c r="A288" s="16">
        <v>475870</v>
      </c>
      <c r="B288" s="16" t="s">
        <v>33</v>
      </c>
      <c r="C288" s="17">
        <v>58.87</v>
      </c>
      <c r="D288" s="17">
        <v>0</v>
      </c>
      <c r="E288" s="17">
        <v>709.78</v>
      </c>
      <c r="F288" s="17">
        <v>0</v>
      </c>
      <c r="G288" s="17">
        <v>0</v>
      </c>
      <c r="H288" s="17">
        <v>0</v>
      </c>
      <c r="I288" s="17">
        <v>0</v>
      </c>
      <c r="J288" s="17">
        <v>768.65</v>
      </c>
      <c r="K288" s="16" t="s">
        <v>48</v>
      </c>
    </row>
    <row r="289" spans="1:11" x14ac:dyDescent="0.35">
      <c r="A289" s="16">
        <v>475793</v>
      </c>
      <c r="B289" s="16" t="s">
        <v>33</v>
      </c>
      <c r="C289" s="17">
        <v>58.79</v>
      </c>
      <c r="D289" s="17">
        <v>0</v>
      </c>
      <c r="E289" s="17">
        <v>703.54</v>
      </c>
      <c r="F289" s="17">
        <v>0</v>
      </c>
      <c r="G289" s="17">
        <v>0</v>
      </c>
      <c r="H289" s="17">
        <v>0</v>
      </c>
      <c r="I289" s="17">
        <v>0</v>
      </c>
      <c r="J289" s="17">
        <v>762.33</v>
      </c>
      <c r="K289" s="16" t="s">
        <v>48</v>
      </c>
    </row>
    <row r="290" spans="1:11" x14ac:dyDescent="0.35">
      <c r="A290" s="16">
        <v>475413</v>
      </c>
      <c r="B290" s="16" t="s">
        <v>34</v>
      </c>
      <c r="C290" s="17">
        <v>58.79</v>
      </c>
      <c r="D290" s="17">
        <v>0</v>
      </c>
      <c r="E290" s="17">
        <v>703.01</v>
      </c>
      <c r="F290" s="17">
        <v>0</v>
      </c>
      <c r="G290" s="17">
        <v>0</v>
      </c>
      <c r="H290" s="17">
        <v>0</v>
      </c>
      <c r="I290" s="17">
        <v>0</v>
      </c>
      <c r="J290" s="17">
        <v>761.8</v>
      </c>
      <c r="K290" s="16" t="s">
        <v>48</v>
      </c>
    </row>
    <row r="291" spans="1:11" x14ac:dyDescent="0.35">
      <c r="A291" s="16">
        <v>833758</v>
      </c>
      <c r="B291" s="16" t="s">
        <v>31</v>
      </c>
      <c r="C291" s="17">
        <v>26.98</v>
      </c>
      <c r="D291" s="17">
        <v>0</v>
      </c>
      <c r="E291" s="17">
        <v>532.69000000000005</v>
      </c>
      <c r="F291" s="17">
        <v>0</v>
      </c>
      <c r="G291" s="17">
        <v>0</v>
      </c>
      <c r="H291" s="17">
        <v>0</v>
      </c>
      <c r="I291" s="17">
        <v>200</v>
      </c>
      <c r="J291" s="17">
        <v>759.67</v>
      </c>
      <c r="K291" s="16" t="s">
        <v>48</v>
      </c>
    </row>
    <row r="292" spans="1:11" x14ac:dyDescent="0.35">
      <c r="A292" s="16">
        <v>476080</v>
      </c>
      <c r="B292" s="16" t="s">
        <v>33</v>
      </c>
      <c r="C292" s="17">
        <v>58.72</v>
      </c>
      <c r="D292" s="17">
        <v>0</v>
      </c>
      <c r="E292" s="17">
        <v>697.5</v>
      </c>
      <c r="F292" s="17">
        <v>0</v>
      </c>
      <c r="G292" s="17">
        <v>0</v>
      </c>
      <c r="H292" s="17">
        <v>0</v>
      </c>
      <c r="I292" s="17">
        <v>0</v>
      </c>
      <c r="J292" s="17">
        <v>756.22</v>
      </c>
      <c r="K292" s="16" t="s">
        <v>48</v>
      </c>
    </row>
    <row r="293" spans="1:11" x14ac:dyDescent="0.35">
      <c r="A293" s="16">
        <v>476155</v>
      </c>
      <c r="B293" s="16" t="s">
        <v>33</v>
      </c>
      <c r="C293" s="17">
        <v>58.67</v>
      </c>
      <c r="D293" s="17">
        <v>0</v>
      </c>
      <c r="E293" s="17">
        <v>693.43</v>
      </c>
      <c r="F293" s="17">
        <v>0</v>
      </c>
      <c r="G293" s="17">
        <v>0</v>
      </c>
      <c r="H293" s="17">
        <v>0</v>
      </c>
      <c r="I293" s="17">
        <v>0</v>
      </c>
      <c r="J293" s="17">
        <v>752.1</v>
      </c>
      <c r="K293" s="16" t="s">
        <v>48</v>
      </c>
    </row>
    <row r="294" spans="1:11" x14ac:dyDescent="0.35">
      <c r="A294" s="16">
        <v>628920</v>
      </c>
      <c r="B294" s="16" t="s">
        <v>33</v>
      </c>
      <c r="C294" s="17">
        <v>58.6</v>
      </c>
      <c r="D294" s="17">
        <v>0</v>
      </c>
      <c r="E294" s="17">
        <v>688.07</v>
      </c>
      <c r="F294" s="17">
        <v>0</v>
      </c>
      <c r="G294" s="17">
        <v>0</v>
      </c>
      <c r="H294" s="17">
        <v>0</v>
      </c>
      <c r="I294" s="17">
        <v>0</v>
      </c>
      <c r="J294" s="17">
        <v>746.67</v>
      </c>
      <c r="K294" s="16" t="s">
        <v>48</v>
      </c>
    </row>
    <row r="295" spans="1:11" x14ac:dyDescent="0.35">
      <c r="A295" s="16">
        <v>477116</v>
      </c>
      <c r="B295" s="16" t="s">
        <v>33</v>
      </c>
      <c r="C295" s="17">
        <v>61.06</v>
      </c>
      <c r="D295" s="17">
        <v>0</v>
      </c>
      <c r="E295" s="17">
        <v>684.48</v>
      </c>
      <c r="F295" s="17">
        <v>0</v>
      </c>
      <c r="G295" s="17">
        <v>0</v>
      </c>
      <c r="H295" s="17">
        <v>0</v>
      </c>
      <c r="I295" s="17">
        <v>0</v>
      </c>
      <c r="J295" s="17">
        <v>745.54</v>
      </c>
      <c r="K295" s="16" t="s">
        <v>48</v>
      </c>
    </row>
    <row r="296" spans="1:11" x14ac:dyDescent="0.35">
      <c r="A296" s="16">
        <v>660117</v>
      </c>
      <c r="B296" s="16" t="s">
        <v>35</v>
      </c>
      <c r="C296" s="17">
        <v>61.02</v>
      </c>
      <c r="D296" s="17">
        <v>0</v>
      </c>
      <c r="E296" s="17">
        <v>682</v>
      </c>
      <c r="F296" s="17">
        <v>0</v>
      </c>
      <c r="G296" s="17">
        <v>0</v>
      </c>
      <c r="H296" s="17">
        <v>0</v>
      </c>
      <c r="I296" s="17">
        <v>0</v>
      </c>
      <c r="J296" s="17">
        <v>743.02</v>
      </c>
      <c r="K296" s="16" t="s">
        <v>48</v>
      </c>
    </row>
    <row r="297" spans="1:11" x14ac:dyDescent="0.35">
      <c r="A297" s="16">
        <v>474893</v>
      </c>
      <c r="B297" s="16" t="s">
        <v>33</v>
      </c>
      <c r="C297" s="17">
        <v>56.07</v>
      </c>
      <c r="D297" s="17">
        <v>0</v>
      </c>
      <c r="E297" s="17">
        <v>485.35</v>
      </c>
      <c r="F297" s="17">
        <v>0</v>
      </c>
      <c r="G297" s="17">
        <v>0</v>
      </c>
      <c r="H297" s="17">
        <v>0</v>
      </c>
      <c r="I297" s="17">
        <v>200</v>
      </c>
      <c r="J297" s="17">
        <v>741.42</v>
      </c>
      <c r="K297" s="16" t="s">
        <v>48</v>
      </c>
    </row>
    <row r="298" spans="1:11" x14ac:dyDescent="0.35">
      <c r="A298" s="16">
        <v>475374</v>
      </c>
      <c r="B298" s="16" t="s">
        <v>33</v>
      </c>
      <c r="C298" s="17">
        <v>25</v>
      </c>
      <c r="D298" s="17">
        <v>0</v>
      </c>
      <c r="E298" s="17">
        <v>206.83</v>
      </c>
      <c r="F298" s="17">
        <v>0</v>
      </c>
      <c r="G298" s="17">
        <v>0</v>
      </c>
      <c r="H298" s="17">
        <v>0</v>
      </c>
      <c r="I298" s="17">
        <v>506.86</v>
      </c>
      <c r="J298" s="17">
        <v>738.69</v>
      </c>
      <c r="K298" s="16" t="s">
        <v>48</v>
      </c>
    </row>
    <row r="299" spans="1:11" x14ac:dyDescent="0.35">
      <c r="A299" s="16">
        <v>476092</v>
      </c>
      <c r="B299" s="16" t="s">
        <v>33</v>
      </c>
      <c r="C299" s="17">
        <v>58.44</v>
      </c>
      <c r="D299" s="17">
        <v>0</v>
      </c>
      <c r="E299" s="17">
        <v>674.95</v>
      </c>
      <c r="F299" s="17">
        <v>0</v>
      </c>
      <c r="G299" s="17">
        <v>0</v>
      </c>
      <c r="H299" s="17">
        <v>0</v>
      </c>
      <c r="I299" s="17">
        <v>0.26</v>
      </c>
      <c r="J299" s="17">
        <v>733.65</v>
      </c>
      <c r="K299" s="16" t="s">
        <v>48</v>
      </c>
    </row>
    <row r="300" spans="1:11" x14ac:dyDescent="0.35">
      <c r="A300" s="16">
        <v>477827</v>
      </c>
      <c r="B300" s="16"/>
      <c r="C300" s="17">
        <v>0</v>
      </c>
      <c r="D300" s="17">
        <v>0</v>
      </c>
      <c r="E300" s="17">
        <v>0</v>
      </c>
      <c r="F300" s="17">
        <v>0</v>
      </c>
      <c r="G300" s="17">
        <v>0</v>
      </c>
      <c r="H300" s="17">
        <v>0</v>
      </c>
      <c r="I300" s="17">
        <v>732.6</v>
      </c>
      <c r="J300" s="17">
        <v>732.6</v>
      </c>
      <c r="K300" s="16" t="s">
        <v>48</v>
      </c>
    </row>
    <row r="301" spans="1:11" x14ac:dyDescent="0.35">
      <c r="A301" s="16">
        <v>477393</v>
      </c>
      <c r="B301" s="16"/>
      <c r="C301" s="17">
        <v>0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732.58</v>
      </c>
      <c r="J301" s="17">
        <v>732.58</v>
      </c>
      <c r="K301" s="16" t="s">
        <v>48</v>
      </c>
    </row>
    <row r="302" spans="1:11" x14ac:dyDescent="0.35">
      <c r="A302" s="16">
        <v>474709</v>
      </c>
      <c r="B302" s="16"/>
      <c r="C302" s="17">
        <v>58.29</v>
      </c>
      <c r="D302" s="17">
        <v>0</v>
      </c>
      <c r="E302" s="17">
        <v>663.04</v>
      </c>
      <c r="F302" s="17">
        <v>0</v>
      </c>
      <c r="G302" s="17">
        <v>0</v>
      </c>
      <c r="H302" s="17">
        <v>0</v>
      </c>
      <c r="I302" s="17">
        <v>0</v>
      </c>
      <c r="J302" s="17">
        <v>721.33</v>
      </c>
      <c r="K302" s="16" t="s">
        <v>48</v>
      </c>
    </row>
    <row r="303" spans="1:11" x14ac:dyDescent="0.35">
      <c r="A303" s="16">
        <v>477254</v>
      </c>
      <c r="B303" s="16" t="s">
        <v>33</v>
      </c>
      <c r="C303" s="17">
        <v>58.24</v>
      </c>
      <c r="D303" s="17">
        <v>0</v>
      </c>
      <c r="E303" s="17">
        <v>659.28</v>
      </c>
      <c r="F303" s="17">
        <v>0</v>
      </c>
      <c r="G303" s="17">
        <v>0</v>
      </c>
      <c r="H303" s="17">
        <v>0</v>
      </c>
      <c r="I303" s="17">
        <v>0</v>
      </c>
      <c r="J303" s="17">
        <v>717.52</v>
      </c>
      <c r="K303" s="16" t="s">
        <v>48</v>
      </c>
    </row>
    <row r="304" spans="1:11" x14ac:dyDescent="0.35">
      <c r="A304" s="16">
        <v>477588</v>
      </c>
      <c r="B304" s="16"/>
      <c r="C304" s="17">
        <v>58.16</v>
      </c>
      <c r="D304" s="17">
        <v>0</v>
      </c>
      <c r="E304" s="17">
        <v>652.77</v>
      </c>
      <c r="F304" s="17">
        <v>0</v>
      </c>
      <c r="G304" s="17">
        <v>0</v>
      </c>
      <c r="H304" s="17">
        <v>0</v>
      </c>
      <c r="I304" s="17">
        <v>0</v>
      </c>
      <c r="J304" s="17">
        <v>710.93</v>
      </c>
      <c r="K304" s="16" t="s">
        <v>48</v>
      </c>
    </row>
    <row r="305" spans="1:11" x14ac:dyDescent="0.35">
      <c r="A305" s="16">
        <v>475238</v>
      </c>
      <c r="B305" s="16" t="s">
        <v>33</v>
      </c>
      <c r="C305" s="17">
        <v>58.15</v>
      </c>
      <c r="D305" s="17">
        <v>0</v>
      </c>
      <c r="E305" s="17">
        <v>652.1</v>
      </c>
      <c r="F305" s="17">
        <v>0</v>
      </c>
      <c r="G305" s="17">
        <v>0</v>
      </c>
      <c r="H305" s="17">
        <v>0</v>
      </c>
      <c r="I305" s="17">
        <v>0</v>
      </c>
      <c r="J305" s="17">
        <v>710.25</v>
      </c>
      <c r="K305" s="16" t="s">
        <v>48</v>
      </c>
    </row>
    <row r="306" spans="1:11" x14ac:dyDescent="0.35">
      <c r="A306" s="16">
        <v>475241</v>
      </c>
      <c r="B306" s="16"/>
      <c r="C306" s="17">
        <v>58.15</v>
      </c>
      <c r="D306" s="17">
        <v>0</v>
      </c>
      <c r="E306" s="17">
        <v>652.1</v>
      </c>
      <c r="F306" s="17">
        <v>0</v>
      </c>
      <c r="G306" s="17">
        <v>0</v>
      </c>
      <c r="H306" s="17">
        <v>0</v>
      </c>
      <c r="I306" s="17">
        <v>0</v>
      </c>
      <c r="J306" s="17">
        <v>710.25</v>
      </c>
      <c r="K306" s="16" t="s">
        <v>48</v>
      </c>
    </row>
    <row r="307" spans="1:11" x14ac:dyDescent="0.35">
      <c r="A307" s="16">
        <v>475353</v>
      </c>
      <c r="B307" s="16" t="s">
        <v>33</v>
      </c>
      <c r="C307" s="17">
        <v>58.11</v>
      </c>
      <c r="D307" s="17">
        <v>0</v>
      </c>
      <c r="E307" s="17">
        <v>648.85</v>
      </c>
      <c r="F307" s="17">
        <v>0</v>
      </c>
      <c r="G307" s="17">
        <v>0</v>
      </c>
      <c r="H307" s="17">
        <v>0</v>
      </c>
      <c r="I307" s="17">
        <v>0</v>
      </c>
      <c r="J307" s="17">
        <v>706.96</v>
      </c>
      <c r="K307" s="16" t="s">
        <v>48</v>
      </c>
    </row>
    <row r="308" spans="1:11" x14ac:dyDescent="0.35">
      <c r="A308" s="16">
        <v>690278</v>
      </c>
      <c r="B308" s="16"/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702.48</v>
      </c>
      <c r="J308" s="17">
        <v>702.48</v>
      </c>
      <c r="K308" s="16" t="s">
        <v>48</v>
      </c>
    </row>
    <row r="309" spans="1:11" x14ac:dyDescent="0.35">
      <c r="A309" s="16">
        <v>476909</v>
      </c>
      <c r="B309" s="16" t="s">
        <v>33</v>
      </c>
      <c r="C309" s="17">
        <v>58.05</v>
      </c>
      <c r="D309" s="17">
        <v>0</v>
      </c>
      <c r="E309" s="17">
        <v>644.02</v>
      </c>
      <c r="F309" s="17">
        <v>0</v>
      </c>
      <c r="G309" s="17">
        <v>0</v>
      </c>
      <c r="H309" s="17">
        <v>0</v>
      </c>
      <c r="I309" s="17">
        <v>0</v>
      </c>
      <c r="J309" s="17">
        <v>702.07</v>
      </c>
      <c r="K309" s="16" t="s">
        <v>48</v>
      </c>
    </row>
    <row r="310" spans="1:11" x14ac:dyDescent="0.35">
      <c r="A310" s="16">
        <v>475442</v>
      </c>
      <c r="B310" s="16" t="s">
        <v>33</v>
      </c>
      <c r="C310" s="17">
        <v>58.01</v>
      </c>
      <c r="D310" s="17">
        <v>0</v>
      </c>
      <c r="E310" s="17">
        <v>640.74</v>
      </c>
      <c r="F310" s="17">
        <v>0</v>
      </c>
      <c r="G310" s="17">
        <v>0</v>
      </c>
      <c r="H310" s="17">
        <v>0</v>
      </c>
      <c r="I310" s="17">
        <v>0</v>
      </c>
      <c r="J310" s="17">
        <v>698.75</v>
      </c>
      <c r="K310" s="16" t="s">
        <v>48</v>
      </c>
    </row>
    <row r="311" spans="1:11" x14ac:dyDescent="0.35">
      <c r="A311" s="16">
        <v>712079</v>
      </c>
      <c r="B311" s="16" t="s">
        <v>33</v>
      </c>
      <c r="C311" s="17">
        <v>57.94</v>
      </c>
      <c r="D311" s="17">
        <v>0</v>
      </c>
      <c r="E311" s="17">
        <v>635.11</v>
      </c>
      <c r="F311" s="17">
        <v>0</v>
      </c>
      <c r="G311" s="17">
        <v>0</v>
      </c>
      <c r="H311" s="17">
        <v>0</v>
      </c>
      <c r="I311" s="17">
        <v>0</v>
      </c>
      <c r="J311" s="17">
        <v>693.05</v>
      </c>
      <c r="K311" s="16" t="s">
        <v>48</v>
      </c>
    </row>
    <row r="312" spans="1:11" x14ac:dyDescent="0.35">
      <c r="A312" s="16">
        <v>475388</v>
      </c>
      <c r="B312" s="16" t="s">
        <v>33</v>
      </c>
      <c r="C312" s="17">
        <v>57.84</v>
      </c>
      <c r="D312" s="17">
        <v>0</v>
      </c>
      <c r="E312" s="17">
        <v>627.33000000000004</v>
      </c>
      <c r="F312" s="17">
        <v>0</v>
      </c>
      <c r="G312" s="17">
        <v>0</v>
      </c>
      <c r="H312" s="17">
        <v>0</v>
      </c>
      <c r="I312" s="17">
        <v>0.56000000000000005</v>
      </c>
      <c r="J312" s="17">
        <v>685.73</v>
      </c>
      <c r="K312" s="16" t="s">
        <v>48</v>
      </c>
    </row>
    <row r="313" spans="1:11" x14ac:dyDescent="0.35">
      <c r="A313" s="16">
        <v>699371</v>
      </c>
      <c r="B313" s="16" t="s">
        <v>33</v>
      </c>
      <c r="C313" s="17">
        <v>56.43</v>
      </c>
      <c r="D313" s="17">
        <v>0</v>
      </c>
      <c r="E313" s="17">
        <v>514.66</v>
      </c>
      <c r="F313" s="17">
        <v>0</v>
      </c>
      <c r="G313" s="17">
        <v>0</v>
      </c>
      <c r="H313" s="17">
        <v>0</v>
      </c>
      <c r="I313" s="17">
        <v>114.24</v>
      </c>
      <c r="J313" s="17">
        <v>685.33</v>
      </c>
      <c r="K313" s="16" t="s">
        <v>48</v>
      </c>
    </row>
    <row r="314" spans="1:11" x14ac:dyDescent="0.35">
      <c r="A314" s="16">
        <v>728859</v>
      </c>
      <c r="B314" s="16" t="s">
        <v>33</v>
      </c>
      <c r="C314" s="17">
        <v>57.76</v>
      </c>
      <c r="D314" s="17">
        <v>0</v>
      </c>
      <c r="E314" s="17">
        <v>621.02</v>
      </c>
      <c r="F314" s="17">
        <v>0</v>
      </c>
      <c r="G314" s="17">
        <v>0</v>
      </c>
      <c r="H314" s="17">
        <v>0</v>
      </c>
      <c r="I314" s="17">
        <v>0</v>
      </c>
      <c r="J314" s="17">
        <v>678.78</v>
      </c>
      <c r="K314" s="16" t="s">
        <v>48</v>
      </c>
    </row>
    <row r="315" spans="1:11" x14ac:dyDescent="0.35">
      <c r="A315" s="16">
        <v>475422</v>
      </c>
      <c r="B315" s="16" t="s">
        <v>33</v>
      </c>
      <c r="C315" s="17">
        <v>57.75</v>
      </c>
      <c r="D315" s="17">
        <v>0</v>
      </c>
      <c r="E315" s="17">
        <v>620.35</v>
      </c>
      <c r="F315" s="17">
        <v>0</v>
      </c>
      <c r="G315" s="17">
        <v>0</v>
      </c>
      <c r="H315" s="17">
        <v>0</v>
      </c>
      <c r="I315" s="17">
        <v>0</v>
      </c>
      <c r="J315" s="17">
        <v>678.1</v>
      </c>
      <c r="K315" s="16" t="s">
        <v>48</v>
      </c>
    </row>
    <row r="316" spans="1:11" x14ac:dyDescent="0.35">
      <c r="A316" s="16">
        <v>474956</v>
      </c>
      <c r="B316" s="16"/>
      <c r="C316" s="17">
        <v>0</v>
      </c>
      <c r="D316" s="17">
        <v>0</v>
      </c>
      <c r="E316" s="17">
        <v>0</v>
      </c>
      <c r="F316" s="17">
        <v>0</v>
      </c>
      <c r="G316" s="17">
        <v>0</v>
      </c>
      <c r="H316" s="17">
        <v>0</v>
      </c>
      <c r="I316" s="17">
        <v>675.55</v>
      </c>
      <c r="J316" s="17">
        <v>675.55</v>
      </c>
      <c r="K316" s="16" t="s">
        <v>48</v>
      </c>
    </row>
    <row r="317" spans="1:11" x14ac:dyDescent="0.35">
      <c r="A317" s="16">
        <v>804874</v>
      </c>
      <c r="B317" s="16" t="s">
        <v>33</v>
      </c>
      <c r="C317" s="17">
        <v>57.69</v>
      </c>
      <c r="D317" s="17">
        <v>0</v>
      </c>
      <c r="E317" s="17">
        <v>614.89</v>
      </c>
      <c r="F317" s="17">
        <v>0</v>
      </c>
      <c r="G317" s="17">
        <v>0</v>
      </c>
      <c r="H317" s="17">
        <v>0</v>
      </c>
      <c r="I317" s="17">
        <v>0</v>
      </c>
      <c r="J317" s="17">
        <v>672.58</v>
      </c>
      <c r="K317" s="16" t="s">
        <v>48</v>
      </c>
    </row>
    <row r="318" spans="1:11" x14ac:dyDescent="0.35">
      <c r="A318" s="16">
        <v>475213</v>
      </c>
      <c r="B318" s="16" t="s">
        <v>33</v>
      </c>
      <c r="C318" s="17">
        <v>64.900000000000006</v>
      </c>
      <c r="D318" s="17">
        <v>0</v>
      </c>
      <c r="E318" s="17">
        <v>596.01</v>
      </c>
      <c r="F318" s="17">
        <v>0</v>
      </c>
      <c r="G318" s="17">
        <v>0</v>
      </c>
      <c r="H318" s="17">
        <v>0</v>
      </c>
      <c r="I318" s="17">
        <v>0</v>
      </c>
      <c r="J318" s="17">
        <v>660.91</v>
      </c>
      <c r="K318" s="16" t="s">
        <v>48</v>
      </c>
    </row>
    <row r="319" spans="1:11" x14ac:dyDescent="0.35">
      <c r="A319" s="16">
        <v>475228</v>
      </c>
      <c r="B319" s="16" t="s">
        <v>33</v>
      </c>
      <c r="C319" s="17">
        <v>57.46</v>
      </c>
      <c r="D319" s="17">
        <v>0</v>
      </c>
      <c r="E319" s="17">
        <v>596.84</v>
      </c>
      <c r="F319" s="17">
        <v>0</v>
      </c>
      <c r="G319" s="17">
        <v>0</v>
      </c>
      <c r="H319" s="17">
        <v>0</v>
      </c>
      <c r="I319" s="17">
        <v>0</v>
      </c>
      <c r="J319" s="17">
        <v>654.29999999999995</v>
      </c>
      <c r="K319" s="16" t="s">
        <v>48</v>
      </c>
    </row>
    <row r="320" spans="1:11" x14ac:dyDescent="0.35">
      <c r="A320" s="16">
        <v>474772</v>
      </c>
      <c r="B320" s="16" t="s">
        <v>34</v>
      </c>
      <c r="C320" s="17">
        <v>349</v>
      </c>
      <c r="D320" s="17">
        <v>15</v>
      </c>
      <c r="E320" s="17">
        <v>279.91000000000003</v>
      </c>
      <c r="F320" s="17">
        <v>0</v>
      </c>
      <c r="G320" s="17">
        <v>0</v>
      </c>
      <c r="H320" s="17">
        <v>0</v>
      </c>
      <c r="I320" s="17">
        <v>0</v>
      </c>
      <c r="J320" s="17">
        <v>643.91</v>
      </c>
      <c r="K320" s="16" t="s">
        <v>48</v>
      </c>
    </row>
    <row r="321" spans="1:11" x14ac:dyDescent="0.35">
      <c r="A321" s="16">
        <v>475338</v>
      </c>
      <c r="B321" s="16"/>
      <c r="C321" s="17">
        <v>290</v>
      </c>
      <c r="D321" s="17">
        <v>0</v>
      </c>
      <c r="E321" s="17">
        <v>352.85</v>
      </c>
      <c r="F321" s="17">
        <v>0</v>
      </c>
      <c r="G321" s="17">
        <v>0</v>
      </c>
      <c r="H321" s="17">
        <v>0</v>
      </c>
      <c r="I321" s="17">
        <v>0</v>
      </c>
      <c r="J321" s="17">
        <v>642.85</v>
      </c>
      <c r="K321" s="16" t="s">
        <v>48</v>
      </c>
    </row>
    <row r="322" spans="1:11" x14ac:dyDescent="0.35">
      <c r="A322" s="16">
        <v>474860</v>
      </c>
      <c r="B322" s="16" t="s">
        <v>33</v>
      </c>
      <c r="C322" s="17">
        <v>57.31</v>
      </c>
      <c r="D322" s="17">
        <v>0</v>
      </c>
      <c r="E322" s="17">
        <v>584.69000000000005</v>
      </c>
      <c r="F322" s="17">
        <v>0</v>
      </c>
      <c r="G322" s="17">
        <v>0</v>
      </c>
      <c r="H322" s="17">
        <v>0</v>
      </c>
      <c r="I322" s="17">
        <v>0</v>
      </c>
      <c r="J322" s="17">
        <v>642</v>
      </c>
      <c r="K322" s="16" t="s">
        <v>48</v>
      </c>
    </row>
    <row r="323" spans="1:11" x14ac:dyDescent="0.35">
      <c r="A323" s="16">
        <v>474809</v>
      </c>
      <c r="B323" s="16"/>
      <c r="C323" s="17">
        <v>57.2</v>
      </c>
      <c r="D323" s="17">
        <v>0</v>
      </c>
      <c r="E323" s="17">
        <v>575.70000000000005</v>
      </c>
      <c r="F323" s="17">
        <v>0</v>
      </c>
      <c r="G323" s="17">
        <v>0</v>
      </c>
      <c r="H323" s="17">
        <v>0</v>
      </c>
      <c r="I323" s="17">
        <v>0</v>
      </c>
      <c r="J323" s="17">
        <v>632.9</v>
      </c>
      <c r="K323" s="16" t="s">
        <v>48</v>
      </c>
    </row>
    <row r="324" spans="1:11" x14ac:dyDescent="0.35">
      <c r="A324" s="16">
        <v>477483</v>
      </c>
      <c r="B324" s="16" t="s">
        <v>33</v>
      </c>
      <c r="C324" s="17">
        <v>59.87</v>
      </c>
      <c r="D324" s="17">
        <v>0</v>
      </c>
      <c r="E324" s="17">
        <v>564.47</v>
      </c>
      <c r="F324" s="17">
        <v>0</v>
      </c>
      <c r="G324" s="17">
        <v>0</v>
      </c>
      <c r="H324" s="17">
        <v>0</v>
      </c>
      <c r="I324" s="17">
        <v>0</v>
      </c>
      <c r="J324" s="17">
        <v>624.34</v>
      </c>
      <c r="K324" s="16" t="s">
        <v>48</v>
      </c>
    </row>
    <row r="325" spans="1:11" x14ac:dyDescent="0.35">
      <c r="A325" s="16">
        <v>475345</v>
      </c>
      <c r="B325" s="16" t="s">
        <v>33</v>
      </c>
      <c r="C325" s="17">
        <v>56.69</v>
      </c>
      <c r="D325" s="17">
        <v>30</v>
      </c>
      <c r="E325" s="17">
        <v>534.87</v>
      </c>
      <c r="F325" s="17">
        <v>0</v>
      </c>
      <c r="G325" s="17">
        <v>0</v>
      </c>
      <c r="H325" s="17">
        <v>0</v>
      </c>
      <c r="I325" s="17">
        <v>0</v>
      </c>
      <c r="J325" s="17">
        <v>621.55999999999995</v>
      </c>
      <c r="K325" s="16" t="s">
        <v>48</v>
      </c>
    </row>
    <row r="326" spans="1:11" x14ac:dyDescent="0.35">
      <c r="A326" s="16">
        <v>683172</v>
      </c>
      <c r="B326" s="16" t="s">
        <v>33</v>
      </c>
      <c r="C326" s="17">
        <v>56.96</v>
      </c>
      <c r="D326" s="17">
        <v>0</v>
      </c>
      <c r="E326" s="17">
        <v>556.85</v>
      </c>
      <c r="F326" s="17">
        <v>0</v>
      </c>
      <c r="G326" s="17">
        <v>0</v>
      </c>
      <c r="H326" s="17">
        <v>0</v>
      </c>
      <c r="I326" s="17">
        <v>0</v>
      </c>
      <c r="J326" s="17">
        <v>613.80999999999995</v>
      </c>
      <c r="K326" s="16" t="s">
        <v>48</v>
      </c>
    </row>
    <row r="327" spans="1:11" x14ac:dyDescent="0.35">
      <c r="A327" s="16">
        <v>560822</v>
      </c>
      <c r="B327" s="16" t="s">
        <v>33</v>
      </c>
      <c r="C327" s="17">
        <v>56.88</v>
      </c>
      <c r="D327" s="17">
        <v>0</v>
      </c>
      <c r="E327" s="17">
        <v>550.04</v>
      </c>
      <c r="F327" s="17">
        <v>0</v>
      </c>
      <c r="G327" s="17">
        <v>0</v>
      </c>
      <c r="H327" s="17">
        <v>0</v>
      </c>
      <c r="I327" s="17">
        <v>0</v>
      </c>
      <c r="J327" s="17">
        <v>606.91999999999996</v>
      </c>
      <c r="K327" s="16" t="s">
        <v>48</v>
      </c>
    </row>
    <row r="328" spans="1:11" x14ac:dyDescent="0.35">
      <c r="A328" s="16">
        <v>478685</v>
      </c>
      <c r="B328" s="16"/>
      <c r="C328" s="17">
        <v>0</v>
      </c>
      <c r="D328" s="17">
        <v>0</v>
      </c>
      <c r="E328" s="17">
        <v>0</v>
      </c>
      <c r="F328" s="17">
        <v>0</v>
      </c>
      <c r="G328" s="17">
        <v>0</v>
      </c>
      <c r="H328" s="17">
        <v>0</v>
      </c>
      <c r="I328" s="17">
        <v>600.66999999999996</v>
      </c>
      <c r="J328" s="17">
        <v>600.66999999999996</v>
      </c>
      <c r="K328" s="16" t="s">
        <v>48</v>
      </c>
    </row>
    <row r="329" spans="1:11" x14ac:dyDescent="0.35">
      <c r="A329" s="16">
        <v>474888</v>
      </c>
      <c r="B329" s="16" t="s">
        <v>33</v>
      </c>
      <c r="C329" s="17">
        <v>56.79</v>
      </c>
      <c r="D329" s="17">
        <v>0</v>
      </c>
      <c r="E329" s="17">
        <v>542.80999999999995</v>
      </c>
      <c r="F329" s="17">
        <v>0</v>
      </c>
      <c r="G329" s="17">
        <v>0</v>
      </c>
      <c r="H329" s="17">
        <v>0</v>
      </c>
      <c r="I329" s="17">
        <v>0</v>
      </c>
      <c r="J329" s="17">
        <v>599.6</v>
      </c>
      <c r="K329" s="16" t="s">
        <v>48</v>
      </c>
    </row>
    <row r="330" spans="1:11" x14ac:dyDescent="0.35">
      <c r="A330" s="16">
        <v>475321</v>
      </c>
      <c r="B330" s="16" t="s">
        <v>34</v>
      </c>
      <c r="C330" s="17">
        <v>30</v>
      </c>
      <c r="D330" s="17">
        <v>0</v>
      </c>
      <c r="E330" s="17">
        <v>569.30999999999995</v>
      </c>
      <c r="F330" s="17">
        <v>0</v>
      </c>
      <c r="G330" s="17">
        <v>0</v>
      </c>
      <c r="H330" s="17">
        <v>0</v>
      </c>
      <c r="I330" s="17">
        <v>0</v>
      </c>
      <c r="J330" s="17">
        <v>599.30999999999995</v>
      </c>
      <c r="K330" s="16" t="s">
        <v>48</v>
      </c>
    </row>
    <row r="331" spans="1:11" x14ac:dyDescent="0.35">
      <c r="A331" s="16">
        <v>879906</v>
      </c>
      <c r="B331" s="16"/>
      <c r="C331" s="17">
        <v>598.84</v>
      </c>
      <c r="D331" s="17">
        <v>0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598.84</v>
      </c>
      <c r="K331" s="16" t="s">
        <v>48</v>
      </c>
    </row>
    <row r="332" spans="1:11" x14ac:dyDescent="0.35">
      <c r="A332" s="16">
        <v>474749</v>
      </c>
      <c r="B332" s="16" t="s">
        <v>33</v>
      </c>
      <c r="C332" s="17">
        <v>56.77</v>
      </c>
      <c r="D332" s="17">
        <v>0</v>
      </c>
      <c r="E332" s="17">
        <v>541.87</v>
      </c>
      <c r="F332" s="17">
        <v>0</v>
      </c>
      <c r="G332" s="17">
        <v>0</v>
      </c>
      <c r="H332" s="17">
        <v>0</v>
      </c>
      <c r="I332" s="17">
        <v>0</v>
      </c>
      <c r="J332" s="17">
        <v>598.64</v>
      </c>
      <c r="K332" s="16" t="s">
        <v>48</v>
      </c>
    </row>
    <row r="333" spans="1:11" x14ac:dyDescent="0.35">
      <c r="A333" s="16">
        <v>880763</v>
      </c>
      <c r="B333" s="16" t="s">
        <v>32</v>
      </c>
      <c r="C333" s="17">
        <v>595</v>
      </c>
      <c r="D333" s="17">
        <v>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595</v>
      </c>
      <c r="K333" s="16" t="s">
        <v>48</v>
      </c>
    </row>
    <row r="334" spans="1:11" x14ac:dyDescent="0.35">
      <c r="A334" s="16">
        <v>474834</v>
      </c>
      <c r="B334" s="16" t="s">
        <v>33</v>
      </c>
      <c r="C334" s="17">
        <v>56.72</v>
      </c>
      <c r="D334" s="17">
        <v>0</v>
      </c>
      <c r="E334" s="17">
        <v>537.48</v>
      </c>
      <c r="F334" s="17">
        <v>0</v>
      </c>
      <c r="G334" s="17">
        <v>0</v>
      </c>
      <c r="H334" s="17">
        <v>0</v>
      </c>
      <c r="I334" s="17">
        <v>0</v>
      </c>
      <c r="J334" s="17">
        <v>594.20000000000005</v>
      </c>
      <c r="K334" s="16" t="s">
        <v>48</v>
      </c>
    </row>
    <row r="335" spans="1:11" x14ac:dyDescent="0.35">
      <c r="A335" s="16">
        <v>474830</v>
      </c>
      <c r="B335" s="16" t="s">
        <v>33</v>
      </c>
      <c r="C335" s="17">
        <v>56.69</v>
      </c>
      <c r="D335" s="17">
        <v>0</v>
      </c>
      <c r="E335" s="17">
        <v>535.38</v>
      </c>
      <c r="F335" s="17">
        <v>0</v>
      </c>
      <c r="G335" s="17">
        <v>0</v>
      </c>
      <c r="H335" s="17">
        <v>0</v>
      </c>
      <c r="I335" s="17">
        <v>0</v>
      </c>
      <c r="J335" s="17">
        <v>592.07000000000005</v>
      </c>
      <c r="K335" s="16" t="s">
        <v>48</v>
      </c>
    </row>
    <row r="336" spans="1:11" x14ac:dyDescent="0.35">
      <c r="A336" s="16">
        <v>475274</v>
      </c>
      <c r="B336" s="16" t="s">
        <v>33</v>
      </c>
      <c r="C336" s="17">
        <v>56.68</v>
      </c>
      <c r="D336" s="17">
        <v>0</v>
      </c>
      <c r="E336" s="17">
        <v>534.02</v>
      </c>
      <c r="F336" s="17">
        <v>0</v>
      </c>
      <c r="G336" s="17">
        <v>0</v>
      </c>
      <c r="H336" s="17">
        <v>0</v>
      </c>
      <c r="I336" s="17">
        <v>0</v>
      </c>
      <c r="J336" s="17">
        <v>590.70000000000005</v>
      </c>
      <c r="K336" s="16" t="s">
        <v>48</v>
      </c>
    </row>
    <row r="337" spans="1:11" x14ac:dyDescent="0.35">
      <c r="A337" s="16">
        <v>474929</v>
      </c>
      <c r="B337" s="16" t="s">
        <v>33</v>
      </c>
      <c r="C337" s="17">
        <v>56.56</v>
      </c>
      <c r="D337" s="17">
        <v>0</v>
      </c>
      <c r="E337" s="17">
        <v>524.97</v>
      </c>
      <c r="F337" s="17">
        <v>0</v>
      </c>
      <c r="G337" s="17">
        <v>0</v>
      </c>
      <c r="H337" s="17">
        <v>0</v>
      </c>
      <c r="I337" s="17">
        <v>0</v>
      </c>
      <c r="J337" s="17">
        <v>581.53</v>
      </c>
      <c r="K337" s="16" t="s">
        <v>48</v>
      </c>
    </row>
    <row r="338" spans="1:11" x14ac:dyDescent="0.35">
      <c r="A338" s="16">
        <v>474972</v>
      </c>
      <c r="B338" s="16" t="s">
        <v>33</v>
      </c>
      <c r="C338" s="17">
        <v>56.52</v>
      </c>
      <c r="D338" s="17">
        <v>0</v>
      </c>
      <c r="E338" s="17">
        <v>522</v>
      </c>
      <c r="F338" s="17">
        <v>0</v>
      </c>
      <c r="G338" s="17">
        <v>0</v>
      </c>
      <c r="H338" s="17">
        <v>0</v>
      </c>
      <c r="I338" s="17">
        <v>0</v>
      </c>
      <c r="J338" s="17">
        <v>578.52</v>
      </c>
      <c r="K338" s="16" t="s">
        <v>48</v>
      </c>
    </row>
    <row r="339" spans="1:11" x14ac:dyDescent="0.35">
      <c r="A339" s="16">
        <v>722650</v>
      </c>
      <c r="B339" s="16" t="s">
        <v>33</v>
      </c>
      <c r="C339" s="17">
        <v>57.54</v>
      </c>
      <c r="D339" s="17">
        <v>0</v>
      </c>
      <c r="E339" s="17">
        <v>452.81</v>
      </c>
      <c r="F339" s="17">
        <v>0</v>
      </c>
      <c r="G339" s="17">
        <v>0</v>
      </c>
      <c r="H339" s="17">
        <v>0</v>
      </c>
      <c r="I339" s="17">
        <v>67.88</v>
      </c>
      <c r="J339" s="17">
        <v>578.23</v>
      </c>
      <c r="K339" s="16" t="s">
        <v>48</v>
      </c>
    </row>
    <row r="340" spans="1:11" x14ac:dyDescent="0.35">
      <c r="A340" s="16">
        <v>474869</v>
      </c>
      <c r="B340" s="16" t="s">
        <v>33</v>
      </c>
      <c r="C340" s="17">
        <v>56.5</v>
      </c>
      <c r="D340" s="17">
        <v>0</v>
      </c>
      <c r="E340" s="17">
        <v>519.83000000000004</v>
      </c>
      <c r="F340" s="17">
        <v>0</v>
      </c>
      <c r="G340" s="17">
        <v>0</v>
      </c>
      <c r="H340" s="17">
        <v>0</v>
      </c>
      <c r="I340" s="17">
        <v>0</v>
      </c>
      <c r="J340" s="17">
        <v>576.33000000000004</v>
      </c>
      <c r="K340" s="16" t="s">
        <v>48</v>
      </c>
    </row>
    <row r="341" spans="1:11" x14ac:dyDescent="0.35">
      <c r="A341" s="16">
        <v>650847</v>
      </c>
      <c r="B341" s="16" t="s">
        <v>33</v>
      </c>
      <c r="C341" s="17">
        <v>56.26</v>
      </c>
      <c r="D341" s="17">
        <v>0</v>
      </c>
      <c r="E341" s="17">
        <v>500.67</v>
      </c>
      <c r="F341" s="17">
        <v>0</v>
      </c>
      <c r="G341" s="17">
        <v>0</v>
      </c>
      <c r="H341" s="17">
        <v>0</v>
      </c>
      <c r="I341" s="17">
        <v>0</v>
      </c>
      <c r="J341" s="17">
        <v>556.92999999999995</v>
      </c>
      <c r="K341" s="16" t="s">
        <v>48</v>
      </c>
    </row>
    <row r="342" spans="1:11" x14ac:dyDescent="0.35">
      <c r="A342" s="16">
        <v>640773</v>
      </c>
      <c r="B342" s="16" t="s">
        <v>33</v>
      </c>
      <c r="C342" s="17">
        <v>56.25</v>
      </c>
      <c r="D342" s="17">
        <v>0</v>
      </c>
      <c r="E342" s="17">
        <v>499.75</v>
      </c>
      <c r="F342" s="17">
        <v>0</v>
      </c>
      <c r="G342" s="17">
        <v>0</v>
      </c>
      <c r="H342" s="17">
        <v>0</v>
      </c>
      <c r="I342" s="17">
        <v>0</v>
      </c>
      <c r="J342" s="17">
        <v>556</v>
      </c>
      <c r="K342" s="16" t="s">
        <v>48</v>
      </c>
    </row>
    <row r="343" spans="1:11" x14ac:dyDescent="0.35">
      <c r="A343" s="16">
        <v>839169</v>
      </c>
      <c r="B343" s="16" t="s">
        <v>33</v>
      </c>
      <c r="C343" s="17">
        <v>56.2</v>
      </c>
      <c r="D343" s="17">
        <v>0</v>
      </c>
      <c r="E343" s="17">
        <v>496.28</v>
      </c>
      <c r="F343" s="17">
        <v>0</v>
      </c>
      <c r="G343" s="17">
        <v>0</v>
      </c>
      <c r="H343" s="17">
        <v>0</v>
      </c>
      <c r="I343" s="17">
        <v>0</v>
      </c>
      <c r="J343" s="17">
        <v>552.48</v>
      </c>
      <c r="K343" s="16" t="s">
        <v>48</v>
      </c>
    </row>
    <row r="344" spans="1:11" x14ac:dyDescent="0.35">
      <c r="A344" s="16">
        <v>629931</v>
      </c>
      <c r="B344" s="16"/>
      <c r="C344" s="17">
        <v>0</v>
      </c>
      <c r="D344" s="17">
        <v>0</v>
      </c>
      <c r="E344" s="17">
        <v>0</v>
      </c>
      <c r="F344" s="17">
        <v>0</v>
      </c>
      <c r="G344" s="17">
        <v>0</v>
      </c>
      <c r="H344" s="17">
        <v>0</v>
      </c>
      <c r="I344" s="17">
        <v>551.66</v>
      </c>
      <c r="J344" s="17">
        <v>551.66</v>
      </c>
      <c r="K344" s="16" t="s">
        <v>48</v>
      </c>
    </row>
    <row r="345" spans="1:11" x14ac:dyDescent="0.35">
      <c r="A345" s="16">
        <v>476837</v>
      </c>
      <c r="B345" s="16" t="s">
        <v>34</v>
      </c>
      <c r="C345" s="17">
        <v>58.66</v>
      </c>
      <c r="D345" s="17">
        <v>0</v>
      </c>
      <c r="E345" s="17">
        <v>492.69</v>
      </c>
      <c r="F345" s="17">
        <v>0</v>
      </c>
      <c r="G345" s="17">
        <v>0</v>
      </c>
      <c r="H345" s="17">
        <v>0</v>
      </c>
      <c r="I345" s="17">
        <v>0</v>
      </c>
      <c r="J345" s="17">
        <v>551.35</v>
      </c>
      <c r="K345" s="16" t="s">
        <v>48</v>
      </c>
    </row>
    <row r="346" spans="1:11" x14ac:dyDescent="0.35">
      <c r="A346" s="16">
        <v>475039</v>
      </c>
      <c r="B346" s="16" t="s">
        <v>33</v>
      </c>
      <c r="C346" s="17">
        <v>56.18</v>
      </c>
      <c r="D346" s="17">
        <v>0</v>
      </c>
      <c r="E346" s="17">
        <v>494.48</v>
      </c>
      <c r="F346" s="17">
        <v>0</v>
      </c>
      <c r="G346" s="17">
        <v>0</v>
      </c>
      <c r="H346" s="17">
        <v>0</v>
      </c>
      <c r="I346" s="17">
        <v>0</v>
      </c>
      <c r="J346" s="17">
        <v>550.66</v>
      </c>
      <c r="K346" s="16" t="s">
        <v>48</v>
      </c>
    </row>
    <row r="347" spans="1:11" x14ac:dyDescent="0.35">
      <c r="A347" s="16">
        <v>474672</v>
      </c>
      <c r="B347" s="16"/>
      <c r="C347" s="17">
        <v>56.18</v>
      </c>
      <c r="D347" s="17">
        <v>0</v>
      </c>
      <c r="E347" s="17">
        <v>494.44</v>
      </c>
      <c r="F347" s="17">
        <v>0</v>
      </c>
      <c r="G347" s="17">
        <v>0</v>
      </c>
      <c r="H347" s="17">
        <v>0</v>
      </c>
      <c r="I347" s="17">
        <v>0</v>
      </c>
      <c r="J347" s="17">
        <v>550.62</v>
      </c>
      <c r="K347" s="16" t="s">
        <v>48</v>
      </c>
    </row>
    <row r="348" spans="1:11" x14ac:dyDescent="0.35">
      <c r="A348" s="16">
        <v>687131</v>
      </c>
      <c r="B348" s="16" t="s">
        <v>33</v>
      </c>
      <c r="C348" s="17">
        <v>56.14</v>
      </c>
      <c r="D348" s="17">
        <v>0</v>
      </c>
      <c r="E348" s="17">
        <v>491.27</v>
      </c>
      <c r="F348" s="17">
        <v>0</v>
      </c>
      <c r="G348" s="17">
        <v>0</v>
      </c>
      <c r="H348" s="17">
        <v>0</v>
      </c>
      <c r="I348" s="17">
        <v>0</v>
      </c>
      <c r="J348" s="17">
        <v>547.41</v>
      </c>
      <c r="K348" s="16" t="s">
        <v>48</v>
      </c>
    </row>
    <row r="349" spans="1:11" x14ac:dyDescent="0.35">
      <c r="A349" s="16">
        <v>474963</v>
      </c>
      <c r="B349" s="16" t="s">
        <v>33</v>
      </c>
      <c r="C349" s="17">
        <v>56.1</v>
      </c>
      <c r="D349" s="17">
        <v>0</v>
      </c>
      <c r="E349" s="17">
        <v>487.62</v>
      </c>
      <c r="F349" s="17">
        <v>0</v>
      </c>
      <c r="G349" s="17">
        <v>0</v>
      </c>
      <c r="H349" s="17">
        <v>0</v>
      </c>
      <c r="I349" s="17">
        <v>0</v>
      </c>
      <c r="J349" s="17">
        <v>543.72</v>
      </c>
      <c r="K349" s="16" t="s">
        <v>48</v>
      </c>
    </row>
    <row r="350" spans="1:11" x14ac:dyDescent="0.35">
      <c r="A350" s="16">
        <v>477124</v>
      </c>
      <c r="B350" s="16" t="s">
        <v>35</v>
      </c>
      <c r="C350" s="17">
        <v>56.06</v>
      </c>
      <c r="D350" s="17">
        <v>0</v>
      </c>
      <c r="E350" s="17">
        <v>484.53</v>
      </c>
      <c r="F350" s="17">
        <v>0</v>
      </c>
      <c r="G350" s="17">
        <v>0</v>
      </c>
      <c r="H350" s="17">
        <v>0</v>
      </c>
      <c r="I350" s="17">
        <v>0</v>
      </c>
      <c r="J350" s="17">
        <v>540.59</v>
      </c>
      <c r="K350" s="16" t="s">
        <v>48</v>
      </c>
    </row>
    <row r="351" spans="1:11" x14ac:dyDescent="0.35">
      <c r="A351" s="16">
        <v>475047</v>
      </c>
      <c r="B351" s="16" t="s">
        <v>33</v>
      </c>
      <c r="C351" s="17">
        <v>56.04</v>
      </c>
      <c r="D351" s="17">
        <v>0</v>
      </c>
      <c r="E351" s="17">
        <v>483.1</v>
      </c>
      <c r="F351" s="17">
        <v>0</v>
      </c>
      <c r="G351" s="17">
        <v>0</v>
      </c>
      <c r="H351" s="17">
        <v>0</v>
      </c>
      <c r="I351" s="17">
        <v>0</v>
      </c>
      <c r="J351" s="17">
        <v>539.14</v>
      </c>
      <c r="K351" s="16" t="s">
        <v>48</v>
      </c>
    </row>
    <row r="352" spans="1:11" x14ac:dyDescent="0.35">
      <c r="A352" s="16">
        <v>474913</v>
      </c>
      <c r="B352" s="16"/>
      <c r="C352" s="17">
        <v>56.02</v>
      </c>
      <c r="D352" s="17">
        <v>0</v>
      </c>
      <c r="E352" s="17">
        <v>481.95</v>
      </c>
      <c r="F352" s="17">
        <v>0</v>
      </c>
      <c r="G352" s="17">
        <v>0</v>
      </c>
      <c r="H352" s="17">
        <v>0</v>
      </c>
      <c r="I352" s="17">
        <v>0</v>
      </c>
      <c r="J352" s="17">
        <v>537.97</v>
      </c>
      <c r="K352" s="16" t="s">
        <v>48</v>
      </c>
    </row>
    <row r="353" spans="1:11" x14ac:dyDescent="0.35">
      <c r="A353" s="16">
        <v>476390</v>
      </c>
      <c r="B353" s="16"/>
      <c r="C353" s="17">
        <v>0</v>
      </c>
      <c r="D353" s="17">
        <v>0</v>
      </c>
      <c r="E353" s="17">
        <v>0</v>
      </c>
      <c r="F353" s="17">
        <v>0</v>
      </c>
      <c r="G353" s="17">
        <v>0</v>
      </c>
      <c r="H353" s="17">
        <v>0</v>
      </c>
      <c r="I353" s="17">
        <v>536.08000000000004</v>
      </c>
      <c r="J353" s="17">
        <v>536.08000000000004</v>
      </c>
      <c r="K353" s="16" t="s">
        <v>48</v>
      </c>
    </row>
    <row r="354" spans="1:11" x14ac:dyDescent="0.35">
      <c r="A354" s="16">
        <v>474832</v>
      </c>
      <c r="B354" s="16" t="s">
        <v>33</v>
      </c>
      <c r="C354" s="17">
        <v>55.98</v>
      </c>
      <c r="D354" s="17">
        <v>0</v>
      </c>
      <c r="E354" s="17">
        <v>478.7</v>
      </c>
      <c r="F354" s="17">
        <v>0</v>
      </c>
      <c r="G354" s="17">
        <v>0</v>
      </c>
      <c r="H354" s="17">
        <v>0</v>
      </c>
      <c r="I354" s="17">
        <v>0</v>
      </c>
      <c r="J354" s="17">
        <v>534.67999999999995</v>
      </c>
      <c r="K354" s="16" t="s">
        <v>48</v>
      </c>
    </row>
    <row r="355" spans="1:11" x14ac:dyDescent="0.35">
      <c r="A355" s="16">
        <v>474825</v>
      </c>
      <c r="B355" s="16"/>
      <c r="C355" s="17">
        <v>55.98</v>
      </c>
      <c r="D355" s="17">
        <v>0</v>
      </c>
      <c r="E355" s="17">
        <v>478.17</v>
      </c>
      <c r="F355" s="17">
        <v>0</v>
      </c>
      <c r="G355" s="17">
        <v>0</v>
      </c>
      <c r="H355" s="17">
        <v>0</v>
      </c>
      <c r="I355" s="17">
        <v>0</v>
      </c>
      <c r="J355" s="17">
        <v>534.15</v>
      </c>
      <c r="K355" s="16" t="s">
        <v>48</v>
      </c>
    </row>
    <row r="356" spans="1:11" x14ac:dyDescent="0.35">
      <c r="A356" s="16">
        <v>474669</v>
      </c>
      <c r="B356" s="16"/>
      <c r="C356" s="17">
        <v>55.97</v>
      </c>
      <c r="D356" s="17">
        <v>0</v>
      </c>
      <c r="E356" s="17">
        <v>477.48</v>
      </c>
      <c r="F356" s="17">
        <v>0</v>
      </c>
      <c r="G356" s="17">
        <v>0</v>
      </c>
      <c r="H356" s="17">
        <v>0</v>
      </c>
      <c r="I356" s="17">
        <v>0</v>
      </c>
      <c r="J356" s="17">
        <v>533.45000000000005</v>
      </c>
      <c r="K356" s="16" t="s">
        <v>48</v>
      </c>
    </row>
    <row r="357" spans="1:11" x14ac:dyDescent="0.35">
      <c r="A357" s="16">
        <v>838391</v>
      </c>
      <c r="B357" s="16" t="s">
        <v>33</v>
      </c>
      <c r="C357" s="17">
        <v>55.96</v>
      </c>
      <c r="D357" s="17">
        <v>0</v>
      </c>
      <c r="E357" s="17">
        <v>476.51</v>
      </c>
      <c r="F357" s="17">
        <v>0</v>
      </c>
      <c r="G357" s="17">
        <v>0</v>
      </c>
      <c r="H357" s="17">
        <v>0</v>
      </c>
      <c r="I357" s="17">
        <v>0</v>
      </c>
      <c r="J357" s="17">
        <v>532.47</v>
      </c>
      <c r="K357" s="16" t="s">
        <v>48</v>
      </c>
    </row>
    <row r="358" spans="1:11" x14ac:dyDescent="0.35">
      <c r="A358" s="16">
        <v>880394</v>
      </c>
      <c r="B358" s="16"/>
      <c r="C358" s="17">
        <v>531.27</v>
      </c>
      <c r="D358" s="17">
        <v>0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531.27</v>
      </c>
      <c r="K358" s="16" t="s">
        <v>48</v>
      </c>
    </row>
    <row r="359" spans="1:11" x14ac:dyDescent="0.35">
      <c r="A359" s="16">
        <v>475021</v>
      </c>
      <c r="B359" s="16" t="s">
        <v>33</v>
      </c>
      <c r="C359" s="17">
        <v>55.92</v>
      </c>
      <c r="D359" s="17">
        <v>0</v>
      </c>
      <c r="E359" s="17">
        <v>473.43</v>
      </c>
      <c r="F359" s="17">
        <v>0</v>
      </c>
      <c r="G359" s="17">
        <v>0</v>
      </c>
      <c r="H359" s="17">
        <v>0</v>
      </c>
      <c r="I359" s="17">
        <v>0</v>
      </c>
      <c r="J359" s="17">
        <v>529.35</v>
      </c>
      <c r="K359" s="16" t="s">
        <v>48</v>
      </c>
    </row>
    <row r="360" spans="1:11" x14ac:dyDescent="0.35">
      <c r="A360" s="16">
        <v>474782</v>
      </c>
      <c r="B360" s="16" t="s">
        <v>33</v>
      </c>
      <c r="C360" s="17">
        <v>55.88</v>
      </c>
      <c r="D360" s="17">
        <v>0</v>
      </c>
      <c r="E360" s="17">
        <v>470.7</v>
      </c>
      <c r="F360" s="17">
        <v>0</v>
      </c>
      <c r="G360" s="17">
        <v>0</v>
      </c>
      <c r="H360" s="17">
        <v>0</v>
      </c>
      <c r="I360" s="17">
        <v>0</v>
      </c>
      <c r="J360" s="17">
        <v>526.58000000000004</v>
      </c>
      <c r="K360" s="16" t="s">
        <v>48</v>
      </c>
    </row>
    <row r="361" spans="1:11" x14ac:dyDescent="0.35">
      <c r="A361" s="16">
        <v>475029</v>
      </c>
      <c r="B361" s="16" t="s">
        <v>33</v>
      </c>
      <c r="C361" s="17">
        <v>55.84</v>
      </c>
      <c r="D361" s="17">
        <v>0</v>
      </c>
      <c r="E361" s="17">
        <v>467.06</v>
      </c>
      <c r="F361" s="17">
        <v>0</v>
      </c>
      <c r="G361" s="17">
        <v>0</v>
      </c>
      <c r="H361" s="17">
        <v>0</v>
      </c>
      <c r="I361" s="17">
        <v>0</v>
      </c>
      <c r="J361" s="17">
        <v>522.9</v>
      </c>
      <c r="K361" s="16" t="s">
        <v>48</v>
      </c>
    </row>
    <row r="362" spans="1:11" x14ac:dyDescent="0.35">
      <c r="A362" s="16">
        <v>474641</v>
      </c>
      <c r="B362" s="16" t="s">
        <v>33</v>
      </c>
      <c r="C362" s="17">
        <v>55.75</v>
      </c>
      <c r="D362" s="17">
        <v>0</v>
      </c>
      <c r="E362" s="17">
        <v>459.64</v>
      </c>
      <c r="F362" s="17">
        <v>0</v>
      </c>
      <c r="G362" s="17">
        <v>0</v>
      </c>
      <c r="H362" s="17">
        <v>0</v>
      </c>
      <c r="I362" s="17">
        <v>0</v>
      </c>
      <c r="J362" s="17">
        <v>515.39</v>
      </c>
      <c r="K362" s="16" t="s">
        <v>48</v>
      </c>
    </row>
    <row r="363" spans="1:11" x14ac:dyDescent="0.35">
      <c r="A363" s="16">
        <v>474756</v>
      </c>
      <c r="B363" s="16" t="s">
        <v>33</v>
      </c>
      <c r="C363" s="17">
        <v>55.74</v>
      </c>
      <c r="D363" s="17">
        <v>0</v>
      </c>
      <c r="E363" s="17">
        <v>459.58</v>
      </c>
      <c r="F363" s="17">
        <v>0</v>
      </c>
      <c r="G363" s="17">
        <v>0</v>
      </c>
      <c r="H363" s="17">
        <v>0</v>
      </c>
      <c r="I363" s="17">
        <v>0</v>
      </c>
      <c r="J363" s="17">
        <v>515.32000000000005</v>
      </c>
      <c r="K363" s="16" t="s">
        <v>48</v>
      </c>
    </row>
    <row r="364" spans="1:11" x14ac:dyDescent="0.35">
      <c r="A364" s="16">
        <v>477458</v>
      </c>
      <c r="B364" s="16"/>
      <c r="C364" s="17">
        <v>55.73</v>
      </c>
      <c r="D364" s="17">
        <v>0</v>
      </c>
      <c r="E364" s="17">
        <v>458.63</v>
      </c>
      <c r="F364" s="17">
        <v>0</v>
      </c>
      <c r="G364" s="17">
        <v>0</v>
      </c>
      <c r="H364" s="17">
        <v>0</v>
      </c>
      <c r="I364" s="17">
        <v>0</v>
      </c>
      <c r="J364" s="17">
        <v>514.36</v>
      </c>
      <c r="K364" s="16" t="s">
        <v>48</v>
      </c>
    </row>
    <row r="365" spans="1:11" x14ac:dyDescent="0.35">
      <c r="A365" s="16">
        <v>476219</v>
      </c>
      <c r="B365" s="16"/>
      <c r="C365" s="17">
        <v>117.39</v>
      </c>
      <c r="D365" s="17">
        <v>390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507.39</v>
      </c>
      <c r="K365" s="16" t="s">
        <v>48</v>
      </c>
    </row>
    <row r="366" spans="1:11" x14ac:dyDescent="0.35">
      <c r="A366" s="16">
        <v>474837</v>
      </c>
      <c r="B366" s="16"/>
      <c r="C366" s="17">
        <v>55.62</v>
      </c>
      <c r="D366" s="17">
        <v>0</v>
      </c>
      <c r="E366" s="17">
        <v>449.87</v>
      </c>
      <c r="F366" s="17">
        <v>0</v>
      </c>
      <c r="G366" s="17">
        <v>0</v>
      </c>
      <c r="H366" s="17">
        <v>0</v>
      </c>
      <c r="I366" s="17">
        <v>0</v>
      </c>
      <c r="J366" s="17">
        <v>505.49</v>
      </c>
      <c r="K366" s="16" t="s">
        <v>48</v>
      </c>
    </row>
    <row r="367" spans="1:11" x14ac:dyDescent="0.35">
      <c r="A367" s="16">
        <v>628055</v>
      </c>
      <c r="B367" s="16" t="s">
        <v>33</v>
      </c>
      <c r="C367" s="17">
        <v>55.53</v>
      </c>
      <c r="D367" s="17">
        <v>0</v>
      </c>
      <c r="E367" s="17">
        <v>441.55</v>
      </c>
      <c r="F367" s="17">
        <v>0</v>
      </c>
      <c r="G367" s="17">
        <v>0</v>
      </c>
      <c r="H367" s="17">
        <v>0</v>
      </c>
      <c r="I367" s="17">
        <v>0.47</v>
      </c>
      <c r="J367" s="17">
        <v>497.55</v>
      </c>
      <c r="K367" s="16" t="s">
        <v>48</v>
      </c>
    </row>
    <row r="368" spans="1:11" x14ac:dyDescent="0.35">
      <c r="A368" s="16">
        <v>477129</v>
      </c>
      <c r="B368" s="16" t="s">
        <v>33</v>
      </c>
      <c r="C368" s="17">
        <v>55.52</v>
      </c>
      <c r="D368" s="17">
        <v>0</v>
      </c>
      <c r="E368" s="17">
        <v>441.72</v>
      </c>
      <c r="F368" s="17">
        <v>0</v>
      </c>
      <c r="G368" s="17">
        <v>0</v>
      </c>
      <c r="H368" s="17">
        <v>0</v>
      </c>
      <c r="I368" s="17">
        <v>0</v>
      </c>
      <c r="J368" s="17">
        <v>497.24</v>
      </c>
      <c r="K368" s="16" t="s">
        <v>48</v>
      </c>
    </row>
    <row r="369" spans="1:11" x14ac:dyDescent="0.35">
      <c r="A369" s="16">
        <v>476381</v>
      </c>
      <c r="B369" s="16"/>
      <c r="C369" s="17">
        <v>484.31</v>
      </c>
      <c r="D369" s="17">
        <v>0</v>
      </c>
      <c r="E369" s="17">
        <v>0</v>
      </c>
      <c r="F369" s="17">
        <v>0</v>
      </c>
      <c r="G369" s="17">
        <v>0</v>
      </c>
      <c r="H369" s="17">
        <v>0</v>
      </c>
      <c r="I369" s="17">
        <v>0</v>
      </c>
      <c r="J369" s="17">
        <v>484.31</v>
      </c>
      <c r="K369" s="16" t="s">
        <v>48</v>
      </c>
    </row>
    <row r="370" spans="1:11" x14ac:dyDescent="0.35">
      <c r="A370" s="16">
        <v>672509</v>
      </c>
      <c r="B370" s="16" t="s">
        <v>33</v>
      </c>
      <c r="C370" s="17">
        <v>55.32</v>
      </c>
      <c r="D370" s="17">
        <v>0</v>
      </c>
      <c r="E370" s="17">
        <v>425.44</v>
      </c>
      <c r="F370" s="17">
        <v>0</v>
      </c>
      <c r="G370" s="17">
        <v>0</v>
      </c>
      <c r="H370" s="17">
        <v>0</v>
      </c>
      <c r="I370" s="17">
        <v>0</v>
      </c>
      <c r="J370" s="17">
        <v>480.76</v>
      </c>
      <c r="K370" s="16" t="s">
        <v>48</v>
      </c>
    </row>
    <row r="371" spans="1:11" x14ac:dyDescent="0.35">
      <c r="A371" s="16">
        <v>478007</v>
      </c>
      <c r="B371" s="16" t="s">
        <v>35</v>
      </c>
      <c r="C371" s="17">
        <v>55.22</v>
      </c>
      <c r="D371" s="17">
        <v>0</v>
      </c>
      <c r="E371" s="17">
        <v>417.61</v>
      </c>
      <c r="F371" s="17">
        <v>0</v>
      </c>
      <c r="G371" s="17">
        <v>0</v>
      </c>
      <c r="H371" s="17">
        <v>0</v>
      </c>
      <c r="I371" s="17">
        <v>0</v>
      </c>
      <c r="J371" s="17">
        <v>472.83</v>
      </c>
      <c r="K371" s="16" t="s">
        <v>48</v>
      </c>
    </row>
    <row r="372" spans="1:11" x14ac:dyDescent="0.35">
      <c r="A372" s="16">
        <v>550439</v>
      </c>
      <c r="B372" s="16" t="s">
        <v>33</v>
      </c>
      <c r="C372" s="17">
        <v>55.2</v>
      </c>
      <c r="D372" s="17">
        <v>0</v>
      </c>
      <c r="E372" s="17">
        <v>416.01</v>
      </c>
      <c r="F372" s="17">
        <v>0</v>
      </c>
      <c r="G372" s="17">
        <v>0</v>
      </c>
      <c r="H372" s="17">
        <v>0</v>
      </c>
      <c r="I372" s="17">
        <v>0</v>
      </c>
      <c r="J372" s="17">
        <v>471.21</v>
      </c>
      <c r="K372" s="16" t="s">
        <v>48</v>
      </c>
    </row>
    <row r="373" spans="1:11" x14ac:dyDescent="0.35">
      <c r="A373" s="16">
        <v>475333</v>
      </c>
      <c r="B373" s="16"/>
      <c r="C373" s="17">
        <v>0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453.33</v>
      </c>
      <c r="J373" s="17">
        <v>453.33</v>
      </c>
      <c r="K373" s="16" t="s">
        <v>48</v>
      </c>
    </row>
    <row r="374" spans="1:11" x14ac:dyDescent="0.35">
      <c r="A374" s="16">
        <v>477902</v>
      </c>
      <c r="B374" s="16" t="s">
        <v>35</v>
      </c>
      <c r="C374" s="17">
        <v>25</v>
      </c>
      <c r="D374" s="17">
        <v>0</v>
      </c>
      <c r="E374" s="17">
        <v>74.790000000000006</v>
      </c>
      <c r="F374" s="17">
        <v>50</v>
      </c>
      <c r="G374" s="17">
        <v>0</v>
      </c>
      <c r="H374" s="17">
        <v>50</v>
      </c>
      <c r="I374" s="17">
        <v>250.53</v>
      </c>
      <c r="J374" s="17">
        <v>450.32</v>
      </c>
      <c r="K374" s="16" t="s">
        <v>48</v>
      </c>
    </row>
    <row r="375" spans="1:11" x14ac:dyDescent="0.35">
      <c r="A375" s="16">
        <v>754376</v>
      </c>
      <c r="B375" s="16"/>
      <c r="C375" s="17">
        <v>0</v>
      </c>
      <c r="D375" s="17">
        <v>0</v>
      </c>
      <c r="E375" s="17">
        <v>0</v>
      </c>
      <c r="F375" s="17">
        <v>0</v>
      </c>
      <c r="G375" s="17">
        <v>0</v>
      </c>
      <c r="H375" s="17">
        <v>0</v>
      </c>
      <c r="I375" s="17">
        <v>450</v>
      </c>
      <c r="J375" s="17">
        <v>450</v>
      </c>
      <c r="K375" s="16" t="s">
        <v>48</v>
      </c>
    </row>
    <row r="376" spans="1:11" x14ac:dyDescent="0.35">
      <c r="A376" s="16">
        <v>881135</v>
      </c>
      <c r="B376" s="16"/>
      <c r="C376" s="17">
        <v>450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450</v>
      </c>
      <c r="K376" s="16" t="s">
        <v>48</v>
      </c>
    </row>
    <row r="377" spans="1:11" x14ac:dyDescent="0.35">
      <c r="A377" s="16">
        <v>477049</v>
      </c>
      <c r="B377" s="16"/>
      <c r="C377" s="17">
        <v>0</v>
      </c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440.11</v>
      </c>
      <c r="J377" s="17">
        <v>440.11</v>
      </c>
      <c r="K377" s="16" t="s">
        <v>48</v>
      </c>
    </row>
    <row r="378" spans="1:11" x14ac:dyDescent="0.35">
      <c r="A378" s="16">
        <v>475809</v>
      </c>
      <c r="B378" s="16"/>
      <c r="C378" s="17">
        <v>0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435.37</v>
      </c>
      <c r="J378" s="17">
        <v>435.37</v>
      </c>
      <c r="K378" s="16" t="s">
        <v>48</v>
      </c>
    </row>
    <row r="379" spans="1:11" x14ac:dyDescent="0.35">
      <c r="A379" s="16">
        <v>771677</v>
      </c>
      <c r="B379" s="16"/>
      <c r="C379" s="17">
        <v>54.74</v>
      </c>
      <c r="D379" s="17">
        <v>0</v>
      </c>
      <c r="E379" s="17">
        <v>379.4</v>
      </c>
      <c r="F379" s="17">
        <v>0</v>
      </c>
      <c r="G379" s="17">
        <v>0</v>
      </c>
      <c r="H379" s="17">
        <v>0</v>
      </c>
      <c r="I379" s="17">
        <v>0</v>
      </c>
      <c r="J379" s="17">
        <v>434.14</v>
      </c>
      <c r="K379" s="16" t="s">
        <v>48</v>
      </c>
    </row>
    <row r="380" spans="1:11" x14ac:dyDescent="0.35">
      <c r="A380" s="16">
        <v>475748</v>
      </c>
      <c r="B380" s="16"/>
      <c r="C380" s="17">
        <v>0</v>
      </c>
      <c r="D380" s="17">
        <v>0</v>
      </c>
      <c r="E380" s="17">
        <v>0</v>
      </c>
      <c r="F380" s="17">
        <v>0</v>
      </c>
      <c r="G380" s="17">
        <v>0</v>
      </c>
      <c r="H380" s="17">
        <v>0</v>
      </c>
      <c r="I380" s="17">
        <v>432.75</v>
      </c>
      <c r="J380" s="17">
        <v>432.75</v>
      </c>
      <c r="K380" s="16" t="s">
        <v>48</v>
      </c>
    </row>
    <row r="381" spans="1:11" x14ac:dyDescent="0.35">
      <c r="A381" s="16">
        <v>474666</v>
      </c>
      <c r="B381" s="16"/>
      <c r="C381" s="17">
        <v>426.44</v>
      </c>
      <c r="D381" s="17">
        <v>0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426.44</v>
      </c>
      <c r="K381" s="16" t="s">
        <v>48</v>
      </c>
    </row>
    <row r="382" spans="1:11" x14ac:dyDescent="0.35">
      <c r="A382" s="16">
        <v>474915</v>
      </c>
      <c r="B382" s="16" t="s">
        <v>33</v>
      </c>
      <c r="C382" s="17">
        <v>54.59</v>
      </c>
      <c r="D382" s="17">
        <v>0</v>
      </c>
      <c r="E382" s="17">
        <v>367.2</v>
      </c>
      <c r="F382" s="17">
        <v>0</v>
      </c>
      <c r="G382" s="17">
        <v>0</v>
      </c>
      <c r="H382" s="17">
        <v>0</v>
      </c>
      <c r="I382" s="17">
        <v>0</v>
      </c>
      <c r="J382" s="17">
        <v>421.79</v>
      </c>
      <c r="K382" s="16" t="s">
        <v>48</v>
      </c>
    </row>
    <row r="383" spans="1:11" x14ac:dyDescent="0.35">
      <c r="A383" s="16">
        <v>475628</v>
      </c>
      <c r="B383" s="16" t="s">
        <v>33</v>
      </c>
      <c r="C383" s="17">
        <v>55.13</v>
      </c>
      <c r="D383" s="17">
        <v>0</v>
      </c>
      <c r="E383" s="17">
        <v>360.16</v>
      </c>
      <c r="F383" s="17">
        <v>0</v>
      </c>
      <c r="G383" s="17">
        <v>0</v>
      </c>
      <c r="H383" s="17">
        <v>0</v>
      </c>
      <c r="I383" s="17">
        <v>0</v>
      </c>
      <c r="J383" s="17">
        <v>415.29</v>
      </c>
      <c r="K383" s="16" t="s">
        <v>48</v>
      </c>
    </row>
    <row r="384" spans="1:11" x14ac:dyDescent="0.35">
      <c r="A384" s="16">
        <v>478652</v>
      </c>
      <c r="B384" s="16"/>
      <c r="C384" s="17">
        <v>60.28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348.18</v>
      </c>
      <c r="J384" s="17">
        <v>408.46</v>
      </c>
      <c r="K384" s="16" t="s">
        <v>48</v>
      </c>
    </row>
    <row r="385" spans="1:11" x14ac:dyDescent="0.35">
      <c r="A385" s="16">
        <v>474872</v>
      </c>
      <c r="B385" s="16"/>
      <c r="C385" s="17">
        <v>0</v>
      </c>
      <c r="D385" s="17">
        <v>0</v>
      </c>
      <c r="E385" s="17">
        <v>0</v>
      </c>
      <c r="F385" s="17">
        <v>0</v>
      </c>
      <c r="G385" s="17">
        <v>0</v>
      </c>
      <c r="H385" s="17">
        <v>0</v>
      </c>
      <c r="I385" s="17">
        <v>408.4</v>
      </c>
      <c r="J385" s="17">
        <v>408.4</v>
      </c>
      <c r="K385" s="16" t="s">
        <v>48</v>
      </c>
    </row>
    <row r="386" spans="1:11" x14ac:dyDescent="0.35">
      <c r="A386" s="16">
        <v>476425</v>
      </c>
      <c r="B386" s="16"/>
      <c r="C386" s="17">
        <v>0</v>
      </c>
      <c r="D386" s="17">
        <v>0</v>
      </c>
      <c r="E386" s="17">
        <v>0</v>
      </c>
      <c r="F386" s="17">
        <v>0</v>
      </c>
      <c r="G386" s="17">
        <v>0</v>
      </c>
      <c r="H386" s="17">
        <v>0</v>
      </c>
      <c r="I386" s="17">
        <v>400</v>
      </c>
      <c r="J386" s="17">
        <v>400</v>
      </c>
      <c r="K386" s="16" t="s">
        <v>48</v>
      </c>
    </row>
    <row r="387" spans="1:11" x14ac:dyDescent="0.35">
      <c r="A387" s="16">
        <v>612473</v>
      </c>
      <c r="B387" s="16"/>
      <c r="C387" s="17">
        <v>0</v>
      </c>
      <c r="D387" s="17">
        <v>0</v>
      </c>
      <c r="E387" s="17">
        <v>0</v>
      </c>
      <c r="F387" s="17">
        <v>0</v>
      </c>
      <c r="G387" s="17">
        <v>0</v>
      </c>
      <c r="H387" s="17">
        <v>0</v>
      </c>
      <c r="I387" s="17">
        <v>394.75</v>
      </c>
      <c r="J387" s="17">
        <v>394.75</v>
      </c>
      <c r="K387" s="16" t="s">
        <v>48</v>
      </c>
    </row>
    <row r="388" spans="1:11" x14ac:dyDescent="0.35">
      <c r="A388" s="16">
        <v>475368</v>
      </c>
      <c r="B388" s="16" t="s">
        <v>33</v>
      </c>
      <c r="C388" s="17">
        <v>54.15</v>
      </c>
      <c r="D388" s="17">
        <v>0</v>
      </c>
      <c r="E388" s="17">
        <v>332.26</v>
      </c>
      <c r="F388" s="17">
        <v>0</v>
      </c>
      <c r="G388" s="17">
        <v>0</v>
      </c>
      <c r="H388" s="17">
        <v>0</v>
      </c>
      <c r="I388" s="17">
        <v>0</v>
      </c>
      <c r="J388" s="17">
        <v>386.41</v>
      </c>
      <c r="K388" s="16" t="s">
        <v>48</v>
      </c>
    </row>
    <row r="389" spans="1:11" x14ac:dyDescent="0.35">
      <c r="A389" s="16">
        <v>847495</v>
      </c>
      <c r="B389" s="16"/>
      <c r="C389" s="17">
        <v>0</v>
      </c>
      <c r="D389" s="17">
        <v>0</v>
      </c>
      <c r="E389" s="17">
        <v>0</v>
      </c>
      <c r="F389" s="17">
        <v>0</v>
      </c>
      <c r="G389" s="17">
        <v>0</v>
      </c>
      <c r="H389" s="17">
        <v>0</v>
      </c>
      <c r="I389" s="17">
        <v>375</v>
      </c>
      <c r="J389" s="17">
        <v>375</v>
      </c>
      <c r="K389" s="16" t="s">
        <v>48</v>
      </c>
    </row>
    <row r="390" spans="1:11" x14ac:dyDescent="0.35">
      <c r="A390" s="16">
        <v>690008</v>
      </c>
      <c r="B390" s="16" t="s">
        <v>34</v>
      </c>
      <c r="C390" s="17">
        <v>58.46</v>
      </c>
      <c r="D390" s="17">
        <v>0</v>
      </c>
      <c r="E390" s="17">
        <v>309.08</v>
      </c>
      <c r="F390" s="17">
        <v>0</v>
      </c>
      <c r="G390" s="17">
        <v>0</v>
      </c>
      <c r="H390" s="17">
        <v>0</v>
      </c>
      <c r="I390" s="17">
        <v>0</v>
      </c>
      <c r="J390" s="17">
        <v>367.54</v>
      </c>
      <c r="K390" s="16" t="s">
        <v>48</v>
      </c>
    </row>
    <row r="391" spans="1:11" x14ac:dyDescent="0.35">
      <c r="A391" s="16">
        <v>474965</v>
      </c>
      <c r="B391" s="16"/>
      <c r="C391" s="17">
        <v>0</v>
      </c>
      <c r="D391" s="17">
        <v>0</v>
      </c>
      <c r="E391" s="17">
        <v>0</v>
      </c>
      <c r="F391" s="17">
        <v>0</v>
      </c>
      <c r="G391" s="17">
        <v>0</v>
      </c>
      <c r="H391" s="17">
        <v>0</v>
      </c>
      <c r="I391" s="17">
        <v>357.88</v>
      </c>
      <c r="J391" s="17">
        <v>357.88</v>
      </c>
      <c r="K391" s="16" t="s">
        <v>48</v>
      </c>
    </row>
    <row r="392" spans="1:11" x14ac:dyDescent="0.35">
      <c r="A392" s="16">
        <v>474483</v>
      </c>
      <c r="B392" s="16"/>
      <c r="C392" s="17">
        <v>0</v>
      </c>
      <c r="D392" s="17">
        <v>0</v>
      </c>
      <c r="E392" s="17">
        <v>0</v>
      </c>
      <c r="F392" s="17">
        <v>0</v>
      </c>
      <c r="G392" s="17">
        <v>0</v>
      </c>
      <c r="H392" s="17">
        <v>0</v>
      </c>
      <c r="I392" s="17">
        <v>355.87</v>
      </c>
      <c r="J392" s="17">
        <v>355.87</v>
      </c>
      <c r="K392" s="16" t="s">
        <v>48</v>
      </c>
    </row>
    <row r="393" spans="1:11" x14ac:dyDescent="0.35">
      <c r="A393" s="16">
        <v>474497</v>
      </c>
      <c r="B393" s="16"/>
      <c r="C393" s="17">
        <v>0</v>
      </c>
      <c r="D393" s="17">
        <v>0</v>
      </c>
      <c r="E393" s="17">
        <v>0</v>
      </c>
      <c r="F393" s="17">
        <v>0</v>
      </c>
      <c r="G393" s="17">
        <v>0</v>
      </c>
      <c r="H393" s="17">
        <v>0</v>
      </c>
      <c r="I393" s="17">
        <v>341.05</v>
      </c>
      <c r="J393" s="17">
        <v>341.05</v>
      </c>
      <c r="K393" s="16" t="s">
        <v>48</v>
      </c>
    </row>
    <row r="394" spans="1:11" x14ac:dyDescent="0.35">
      <c r="A394" s="16">
        <v>474886</v>
      </c>
      <c r="B394" s="16"/>
      <c r="C394" s="17">
        <v>0</v>
      </c>
      <c r="D394" s="17">
        <v>0</v>
      </c>
      <c r="E394" s="17">
        <v>0</v>
      </c>
      <c r="F394" s="17">
        <v>0</v>
      </c>
      <c r="G394" s="17">
        <v>0</v>
      </c>
      <c r="H394" s="17">
        <v>0</v>
      </c>
      <c r="I394" s="17">
        <v>340.82</v>
      </c>
      <c r="J394" s="17">
        <v>340.82</v>
      </c>
      <c r="K394" s="16" t="s">
        <v>48</v>
      </c>
    </row>
    <row r="395" spans="1:11" x14ac:dyDescent="0.35">
      <c r="A395" s="16">
        <v>474460</v>
      </c>
      <c r="B395" s="16"/>
      <c r="C395" s="17">
        <v>0</v>
      </c>
      <c r="D395" s="17">
        <v>0</v>
      </c>
      <c r="E395" s="17">
        <v>0</v>
      </c>
      <c r="F395" s="17">
        <v>0</v>
      </c>
      <c r="G395" s="17">
        <v>0</v>
      </c>
      <c r="H395" s="17">
        <v>0</v>
      </c>
      <c r="I395" s="17">
        <v>329.59</v>
      </c>
      <c r="J395" s="17">
        <v>329.59</v>
      </c>
      <c r="K395" s="16" t="s">
        <v>48</v>
      </c>
    </row>
    <row r="396" spans="1:11" x14ac:dyDescent="0.35">
      <c r="A396" s="16">
        <v>474949</v>
      </c>
      <c r="B396" s="16"/>
      <c r="C396" s="17">
        <v>0</v>
      </c>
      <c r="D396" s="17">
        <v>0</v>
      </c>
      <c r="E396" s="17">
        <v>0</v>
      </c>
      <c r="F396" s="17">
        <v>0</v>
      </c>
      <c r="G396" s="17">
        <v>0</v>
      </c>
      <c r="H396" s="17">
        <v>0</v>
      </c>
      <c r="I396" s="17">
        <v>325</v>
      </c>
      <c r="J396" s="17">
        <v>325</v>
      </c>
      <c r="K396" s="16" t="s">
        <v>48</v>
      </c>
    </row>
    <row r="397" spans="1:11" x14ac:dyDescent="0.35">
      <c r="A397" s="16">
        <v>476060</v>
      </c>
      <c r="B397" s="16"/>
      <c r="C397" s="17">
        <v>54.19</v>
      </c>
      <c r="D397" s="17">
        <v>0</v>
      </c>
      <c r="E397" s="17">
        <v>85.31</v>
      </c>
      <c r="F397" s="17">
        <v>0</v>
      </c>
      <c r="G397" s="17">
        <v>0</v>
      </c>
      <c r="H397" s="17">
        <v>0</v>
      </c>
      <c r="I397" s="17">
        <v>164.67</v>
      </c>
      <c r="J397" s="17">
        <v>304.17</v>
      </c>
      <c r="K397" s="16" t="s">
        <v>48</v>
      </c>
    </row>
    <row r="398" spans="1:11" x14ac:dyDescent="0.35">
      <c r="A398" s="16">
        <v>478285</v>
      </c>
      <c r="B398" s="16"/>
      <c r="C398" s="17">
        <v>0</v>
      </c>
      <c r="D398" s="17">
        <v>0</v>
      </c>
      <c r="E398" s="17">
        <v>0</v>
      </c>
      <c r="F398" s="17">
        <v>0</v>
      </c>
      <c r="G398" s="17">
        <v>0</v>
      </c>
      <c r="H398" s="17">
        <v>0</v>
      </c>
      <c r="I398" s="17">
        <v>278.52</v>
      </c>
      <c r="J398" s="17">
        <v>278.52</v>
      </c>
      <c r="K398" s="16" t="s">
        <v>48</v>
      </c>
    </row>
    <row r="399" spans="1:11" x14ac:dyDescent="0.35">
      <c r="A399" s="16">
        <v>474579</v>
      </c>
      <c r="B399" s="16" t="s">
        <v>33</v>
      </c>
      <c r="C399" s="17">
        <v>52.81</v>
      </c>
      <c r="D399" s="17">
        <v>0</v>
      </c>
      <c r="E399" s="17">
        <v>225</v>
      </c>
      <c r="F399" s="17">
        <v>0</v>
      </c>
      <c r="G399" s="17">
        <v>0</v>
      </c>
      <c r="H399" s="17">
        <v>0</v>
      </c>
      <c r="I399" s="17">
        <v>0</v>
      </c>
      <c r="J399" s="17">
        <v>277.81</v>
      </c>
      <c r="K399" s="16" t="s">
        <v>49</v>
      </c>
    </row>
    <row r="400" spans="1:11" x14ac:dyDescent="0.35">
      <c r="A400" s="16">
        <v>474823</v>
      </c>
      <c r="B400" s="16"/>
      <c r="C400" s="17">
        <v>0</v>
      </c>
      <c r="D400" s="17">
        <v>0</v>
      </c>
      <c r="E400" s="17">
        <v>0</v>
      </c>
      <c r="F400" s="17">
        <v>0</v>
      </c>
      <c r="G400" s="17">
        <v>0</v>
      </c>
      <c r="H400" s="17">
        <v>0</v>
      </c>
      <c r="I400" s="17">
        <v>274.98</v>
      </c>
      <c r="J400" s="17">
        <v>274.98</v>
      </c>
      <c r="K400" s="16" t="s">
        <v>48</v>
      </c>
    </row>
    <row r="401" spans="1:11" x14ac:dyDescent="0.35">
      <c r="A401" s="16">
        <v>475712</v>
      </c>
      <c r="B401" s="16"/>
      <c r="C401" s="17">
        <v>0</v>
      </c>
      <c r="D401" s="17">
        <v>0</v>
      </c>
      <c r="E401" s="17">
        <v>0</v>
      </c>
      <c r="F401" s="17">
        <v>0</v>
      </c>
      <c r="G401" s="17">
        <v>0</v>
      </c>
      <c r="H401" s="17">
        <v>0</v>
      </c>
      <c r="I401" s="17">
        <v>254.61</v>
      </c>
      <c r="J401" s="17">
        <v>254.61</v>
      </c>
      <c r="K401" s="16" t="s">
        <v>48</v>
      </c>
    </row>
    <row r="402" spans="1:11" x14ac:dyDescent="0.35">
      <c r="A402" s="16">
        <v>476062</v>
      </c>
      <c r="B402" s="16"/>
      <c r="C402" s="17">
        <v>59.05</v>
      </c>
      <c r="D402" s="17">
        <v>0</v>
      </c>
      <c r="E402" s="17">
        <v>0</v>
      </c>
      <c r="F402" s="17">
        <v>0</v>
      </c>
      <c r="G402" s="17">
        <v>0</v>
      </c>
      <c r="H402" s="17">
        <v>0</v>
      </c>
      <c r="I402" s="17">
        <v>192.69</v>
      </c>
      <c r="J402" s="17">
        <v>251.74</v>
      </c>
      <c r="K402" s="16" t="s">
        <v>48</v>
      </c>
    </row>
    <row r="403" spans="1:11" x14ac:dyDescent="0.35">
      <c r="A403" s="16">
        <v>474470</v>
      </c>
      <c r="B403" s="16"/>
      <c r="C403" s="17">
        <v>0</v>
      </c>
      <c r="D403" s="17">
        <v>0</v>
      </c>
      <c r="E403" s="17">
        <v>0</v>
      </c>
      <c r="F403" s="17">
        <v>0</v>
      </c>
      <c r="G403" s="17">
        <v>0</v>
      </c>
      <c r="H403" s="17">
        <v>0</v>
      </c>
      <c r="I403" s="17">
        <v>249.09</v>
      </c>
      <c r="J403" s="17">
        <v>249.09</v>
      </c>
      <c r="K403" s="16" t="s">
        <v>48</v>
      </c>
    </row>
    <row r="404" spans="1:11" x14ac:dyDescent="0.35">
      <c r="A404" s="16">
        <v>475876</v>
      </c>
      <c r="B404" s="16"/>
      <c r="C404" s="17">
        <v>0</v>
      </c>
      <c r="D404" s="17">
        <v>233.75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17">
        <v>233.75</v>
      </c>
      <c r="K404" s="16" t="s">
        <v>48</v>
      </c>
    </row>
    <row r="405" spans="1:11" x14ac:dyDescent="0.35">
      <c r="A405" s="16">
        <v>474468</v>
      </c>
      <c r="B405" s="16"/>
      <c r="C405" s="17">
        <v>0</v>
      </c>
      <c r="D405" s="17">
        <v>0</v>
      </c>
      <c r="E405" s="17">
        <v>0</v>
      </c>
      <c r="F405" s="17">
        <v>0</v>
      </c>
      <c r="G405" s="17">
        <v>0</v>
      </c>
      <c r="H405" s="17">
        <v>0</v>
      </c>
      <c r="I405" s="17">
        <v>229.12</v>
      </c>
      <c r="J405" s="17">
        <v>229.12</v>
      </c>
      <c r="K405" s="16" t="s">
        <v>48</v>
      </c>
    </row>
    <row r="406" spans="1:11" x14ac:dyDescent="0.35">
      <c r="A406" s="16">
        <v>474582</v>
      </c>
      <c r="B406" s="16"/>
      <c r="C406" s="17">
        <v>58.92</v>
      </c>
      <c r="D406" s="17">
        <v>0</v>
      </c>
      <c r="E406" s="17">
        <v>0</v>
      </c>
      <c r="F406" s="17">
        <v>0</v>
      </c>
      <c r="G406" s="17">
        <v>0</v>
      </c>
      <c r="H406" s="17">
        <v>0</v>
      </c>
      <c r="I406" s="17">
        <v>150</v>
      </c>
      <c r="J406" s="17">
        <v>208.92</v>
      </c>
      <c r="K406" s="16" t="s">
        <v>49</v>
      </c>
    </row>
    <row r="407" spans="1:11" x14ac:dyDescent="0.35">
      <c r="A407" s="16">
        <v>474471</v>
      </c>
      <c r="B407" s="16"/>
      <c r="C407" s="17">
        <v>0</v>
      </c>
      <c r="D407" s="17">
        <v>0</v>
      </c>
      <c r="E407" s="17">
        <v>0</v>
      </c>
      <c r="F407" s="17">
        <v>0</v>
      </c>
      <c r="G407" s="17">
        <v>0</v>
      </c>
      <c r="H407" s="17">
        <v>0</v>
      </c>
      <c r="I407" s="17">
        <v>200</v>
      </c>
      <c r="J407" s="17">
        <v>200</v>
      </c>
      <c r="K407" s="16" t="s">
        <v>48</v>
      </c>
    </row>
    <row r="408" spans="1:11" x14ac:dyDescent="0.35">
      <c r="A408" s="16">
        <v>477613</v>
      </c>
      <c r="B408" s="16"/>
      <c r="C408" s="17">
        <v>51.64</v>
      </c>
      <c r="D408" s="17">
        <v>0</v>
      </c>
      <c r="E408" s="17">
        <v>131.33000000000001</v>
      </c>
      <c r="F408" s="17">
        <v>0</v>
      </c>
      <c r="G408" s="17">
        <v>0</v>
      </c>
      <c r="H408" s="17">
        <v>0</v>
      </c>
      <c r="I408" s="17">
        <v>0</v>
      </c>
      <c r="J408" s="17">
        <v>182.97</v>
      </c>
      <c r="K408" s="16" t="s">
        <v>48</v>
      </c>
    </row>
    <row r="409" spans="1:11" x14ac:dyDescent="0.35">
      <c r="A409" s="16">
        <v>518559</v>
      </c>
      <c r="B409" s="16" t="s">
        <v>33</v>
      </c>
      <c r="C409" s="17">
        <v>51.61</v>
      </c>
      <c r="D409" s="17">
        <v>0</v>
      </c>
      <c r="E409" s="17">
        <v>128.52000000000001</v>
      </c>
      <c r="F409" s="17">
        <v>0</v>
      </c>
      <c r="G409" s="17">
        <v>0</v>
      </c>
      <c r="H409" s="17">
        <v>0</v>
      </c>
      <c r="I409" s="17">
        <v>0</v>
      </c>
      <c r="J409" s="17">
        <v>180.13</v>
      </c>
      <c r="K409" s="16" t="s">
        <v>48</v>
      </c>
    </row>
    <row r="410" spans="1:11" x14ac:dyDescent="0.35">
      <c r="A410" s="16">
        <v>478364</v>
      </c>
      <c r="B410" s="16"/>
      <c r="C410" s="17">
        <v>0</v>
      </c>
      <c r="D410" s="17">
        <v>0</v>
      </c>
      <c r="E410" s="17">
        <v>0</v>
      </c>
      <c r="F410" s="17">
        <v>0</v>
      </c>
      <c r="G410" s="17">
        <v>0</v>
      </c>
      <c r="H410" s="17">
        <v>0</v>
      </c>
      <c r="I410" s="17">
        <v>177.26</v>
      </c>
      <c r="J410" s="17">
        <v>177.26</v>
      </c>
      <c r="K410" s="16" t="s">
        <v>48</v>
      </c>
    </row>
    <row r="411" spans="1:11" x14ac:dyDescent="0.35">
      <c r="A411" s="16">
        <v>475964</v>
      </c>
      <c r="B411" s="16"/>
      <c r="C411" s="17">
        <v>0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158.63</v>
      </c>
      <c r="J411" s="17">
        <v>158.63</v>
      </c>
      <c r="K411" s="16" t="s">
        <v>48</v>
      </c>
    </row>
    <row r="412" spans="1:11" x14ac:dyDescent="0.35">
      <c r="A412" s="16">
        <v>478633</v>
      </c>
      <c r="B412" s="16"/>
      <c r="C412" s="17">
        <v>51.28</v>
      </c>
      <c r="D412" s="17">
        <v>0</v>
      </c>
      <c r="E412" s="17">
        <v>102.1</v>
      </c>
      <c r="F412" s="17">
        <v>0</v>
      </c>
      <c r="G412" s="17">
        <v>0</v>
      </c>
      <c r="H412" s="17">
        <v>0</v>
      </c>
      <c r="I412" s="17">
        <v>0</v>
      </c>
      <c r="J412" s="17">
        <v>153.38</v>
      </c>
      <c r="K412" s="16" t="s">
        <v>48</v>
      </c>
    </row>
    <row r="413" spans="1:11" x14ac:dyDescent="0.35">
      <c r="A413" s="16">
        <v>476580</v>
      </c>
      <c r="B413" s="16" t="s">
        <v>33</v>
      </c>
      <c r="C413" s="17">
        <v>51.24</v>
      </c>
      <c r="D413" s="17">
        <v>0</v>
      </c>
      <c r="E413" s="17">
        <v>99.09</v>
      </c>
      <c r="F413" s="17">
        <v>0</v>
      </c>
      <c r="G413" s="17">
        <v>0</v>
      </c>
      <c r="H413" s="17">
        <v>0</v>
      </c>
      <c r="I413" s="17">
        <v>0</v>
      </c>
      <c r="J413" s="17">
        <v>150.33000000000001</v>
      </c>
      <c r="K413" s="16" t="s">
        <v>48</v>
      </c>
    </row>
    <row r="414" spans="1:11" x14ac:dyDescent="0.35">
      <c r="A414" s="16">
        <v>475086</v>
      </c>
      <c r="B414" s="16"/>
      <c r="C414" s="17">
        <v>0</v>
      </c>
      <c r="D414" s="17">
        <v>0</v>
      </c>
      <c r="E414" s="17">
        <v>0</v>
      </c>
      <c r="F414" s="17">
        <v>0</v>
      </c>
      <c r="G414" s="17">
        <v>0</v>
      </c>
      <c r="H414" s="17">
        <v>0</v>
      </c>
      <c r="I414" s="17">
        <v>143.11000000000001</v>
      </c>
      <c r="J414" s="17">
        <v>143.11000000000001</v>
      </c>
      <c r="K414" s="16" t="s">
        <v>48</v>
      </c>
    </row>
    <row r="415" spans="1:11" x14ac:dyDescent="0.35">
      <c r="A415" s="16">
        <v>478535</v>
      </c>
      <c r="B415" s="16"/>
      <c r="C415" s="17">
        <v>0</v>
      </c>
      <c r="D415" s="17">
        <v>0</v>
      </c>
      <c r="E415" s="17">
        <v>0</v>
      </c>
      <c r="F415" s="17">
        <v>0</v>
      </c>
      <c r="G415" s="17">
        <v>0</v>
      </c>
      <c r="H415" s="17">
        <v>0</v>
      </c>
      <c r="I415" s="17">
        <v>142.69999999999999</v>
      </c>
      <c r="J415" s="17">
        <v>142.69999999999999</v>
      </c>
      <c r="K415" s="16" t="s">
        <v>48</v>
      </c>
    </row>
    <row r="416" spans="1:11" x14ac:dyDescent="0.35">
      <c r="A416" s="16">
        <v>474476</v>
      </c>
      <c r="B416" s="16"/>
      <c r="C416" s="17">
        <v>0</v>
      </c>
      <c r="D416" s="17">
        <v>0</v>
      </c>
      <c r="E416" s="17">
        <v>0</v>
      </c>
      <c r="F416" s="17">
        <v>0</v>
      </c>
      <c r="G416" s="17">
        <v>0</v>
      </c>
      <c r="H416" s="17">
        <v>0</v>
      </c>
      <c r="I416" s="17">
        <v>141.51</v>
      </c>
      <c r="J416" s="17">
        <v>141.51</v>
      </c>
      <c r="K416" s="16" t="s">
        <v>48</v>
      </c>
    </row>
    <row r="417" spans="1:11" x14ac:dyDescent="0.35">
      <c r="A417" s="16">
        <v>576918</v>
      </c>
      <c r="B417" s="16"/>
      <c r="C417" s="17">
        <v>138.91999999999999</v>
      </c>
      <c r="D417" s="17">
        <v>0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138.91999999999999</v>
      </c>
      <c r="K417" s="16" t="s">
        <v>48</v>
      </c>
    </row>
    <row r="418" spans="1:11" x14ac:dyDescent="0.35">
      <c r="A418" s="16">
        <v>846077</v>
      </c>
      <c r="B418" s="16"/>
      <c r="C418" s="17">
        <v>51.06</v>
      </c>
      <c r="D418" s="17">
        <v>0</v>
      </c>
      <c r="E418" s="17">
        <v>84.58</v>
      </c>
      <c r="F418" s="17">
        <v>0</v>
      </c>
      <c r="G418" s="17">
        <v>0</v>
      </c>
      <c r="H418" s="17">
        <v>0</v>
      </c>
      <c r="I418" s="17">
        <v>0</v>
      </c>
      <c r="J418" s="17">
        <v>135.63999999999999</v>
      </c>
      <c r="K418" s="16" t="s">
        <v>48</v>
      </c>
    </row>
    <row r="419" spans="1:11" x14ac:dyDescent="0.35">
      <c r="A419" s="16">
        <v>474482</v>
      </c>
      <c r="B419" s="16"/>
      <c r="C419" s="17">
        <v>0</v>
      </c>
      <c r="D419" s="17">
        <v>0</v>
      </c>
      <c r="E419" s="17">
        <v>0</v>
      </c>
      <c r="F419" s="17">
        <v>0</v>
      </c>
      <c r="G419" s="17">
        <v>0</v>
      </c>
      <c r="H419" s="17">
        <v>0</v>
      </c>
      <c r="I419" s="17">
        <v>124.97</v>
      </c>
      <c r="J419" s="17">
        <v>124.97</v>
      </c>
      <c r="K419" s="16" t="s">
        <v>48</v>
      </c>
    </row>
    <row r="420" spans="1:11" x14ac:dyDescent="0.35">
      <c r="A420" s="16">
        <v>476597</v>
      </c>
      <c r="B420" s="16"/>
      <c r="C420" s="17">
        <v>50.92</v>
      </c>
      <c r="D420" s="17">
        <v>0</v>
      </c>
      <c r="E420" s="17">
        <v>73.55</v>
      </c>
      <c r="F420" s="17">
        <v>0</v>
      </c>
      <c r="G420" s="17">
        <v>0</v>
      </c>
      <c r="H420" s="17">
        <v>0</v>
      </c>
      <c r="I420" s="17">
        <v>0</v>
      </c>
      <c r="J420" s="17">
        <v>124.47</v>
      </c>
      <c r="K420" s="16" t="s">
        <v>48</v>
      </c>
    </row>
    <row r="421" spans="1:11" x14ac:dyDescent="0.35">
      <c r="A421" s="16">
        <v>476178</v>
      </c>
      <c r="B421" s="16"/>
      <c r="C421" s="17">
        <v>0</v>
      </c>
      <c r="D421" s="17">
        <v>0</v>
      </c>
      <c r="E421" s="17">
        <v>0</v>
      </c>
      <c r="F421" s="17">
        <v>0</v>
      </c>
      <c r="G421" s="17">
        <v>0</v>
      </c>
      <c r="H421" s="17">
        <v>0</v>
      </c>
      <c r="I421" s="17">
        <v>114.2</v>
      </c>
      <c r="J421" s="17">
        <v>114.2</v>
      </c>
      <c r="K421" s="16" t="s">
        <v>48</v>
      </c>
    </row>
    <row r="422" spans="1:11" x14ac:dyDescent="0.35">
      <c r="A422" s="16">
        <v>809394</v>
      </c>
      <c r="B422" s="16" t="s">
        <v>33</v>
      </c>
      <c r="C422" s="17">
        <v>50.77</v>
      </c>
      <c r="D422" s="17">
        <v>0</v>
      </c>
      <c r="E422" s="17">
        <v>61.9</v>
      </c>
      <c r="F422" s="17">
        <v>0</v>
      </c>
      <c r="G422" s="17">
        <v>0</v>
      </c>
      <c r="H422" s="17">
        <v>0</v>
      </c>
      <c r="I422" s="17">
        <v>0</v>
      </c>
      <c r="J422" s="17">
        <v>112.67</v>
      </c>
      <c r="K422" s="16" t="s">
        <v>48</v>
      </c>
    </row>
    <row r="423" spans="1:11" x14ac:dyDescent="0.35">
      <c r="A423" s="16">
        <v>850508</v>
      </c>
      <c r="B423" s="16" t="s">
        <v>33</v>
      </c>
      <c r="C423" s="17">
        <v>50.67</v>
      </c>
      <c r="D423" s="17">
        <v>0</v>
      </c>
      <c r="E423" s="17">
        <v>53.51</v>
      </c>
      <c r="F423" s="17">
        <v>0</v>
      </c>
      <c r="G423" s="17">
        <v>0</v>
      </c>
      <c r="H423" s="17">
        <v>0</v>
      </c>
      <c r="I423" s="17">
        <v>0</v>
      </c>
      <c r="J423" s="17">
        <v>104.18</v>
      </c>
      <c r="K423" s="16" t="s">
        <v>48</v>
      </c>
    </row>
    <row r="424" spans="1:11" x14ac:dyDescent="0.35">
      <c r="A424" s="16">
        <v>476955</v>
      </c>
      <c r="B424" s="16" t="s">
        <v>33</v>
      </c>
      <c r="C424" s="17">
        <v>50.66</v>
      </c>
      <c r="D424" s="17">
        <v>0</v>
      </c>
      <c r="E424" s="17">
        <v>52.47</v>
      </c>
      <c r="F424" s="17">
        <v>0</v>
      </c>
      <c r="G424" s="17">
        <v>0</v>
      </c>
      <c r="H424" s="17">
        <v>0</v>
      </c>
      <c r="I424" s="17">
        <v>0</v>
      </c>
      <c r="J424" s="17">
        <v>103.13</v>
      </c>
      <c r="K424" s="16" t="s">
        <v>48</v>
      </c>
    </row>
    <row r="425" spans="1:11" x14ac:dyDescent="0.35">
      <c r="A425" s="16">
        <v>475178</v>
      </c>
      <c r="B425" s="16"/>
      <c r="C425" s="17">
        <v>0</v>
      </c>
      <c r="D425" s="17">
        <v>0</v>
      </c>
      <c r="E425" s="17">
        <v>0</v>
      </c>
      <c r="F425" s="17">
        <v>0</v>
      </c>
      <c r="G425" s="17">
        <v>0</v>
      </c>
      <c r="H425" s="17">
        <v>0</v>
      </c>
      <c r="I425" s="17">
        <v>92.5</v>
      </c>
      <c r="J425" s="17">
        <v>92.5</v>
      </c>
      <c r="K425" s="16" t="s">
        <v>48</v>
      </c>
    </row>
    <row r="426" spans="1:11" x14ac:dyDescent="0.35">
      <c r="A426" s="16">
        <v>475552</v>
      </c>
      <c r="B426" s="16"/>
      <c r="C426" s="17">
        <v>0</v>
      </c>
      <c r="D426" s="17">
        <v>0</v>
      </c>
      <c r="E426" s="17">
        <v>0</v>
      </c>
      <c r="F426" s="17">
        <v>0</v>
      </c>
      <c r="G426" s="17">
        <v>81.25</v>
      </c>
      <c r="H426" s="17">
        <v>0</v>
      </c>
      <c r="I426" s="17">
        <v>0</v>
      </c>
      <c r="J426" s="17">
        <v>81.25</v>
      </c>
      <c r="K426" s="16" t="s">
        <v>48</v>
      </c>
    </row>
    <row r="427" spans="1:11" x14ac:dyDescent="0.35">
      <c r="A427" s="16">
        <v>475054</v>
      </c>
      <c r="B427" s="16"/>
      <c r="C427" s="17">
        <v>0</v>
      </c>
      <c r="D427" s="17">
        <v>0</v>
      </c>
      <c r="E427" s="17">
        <v>0</v>
      </c>
      <c r="F427" s="17">
        <v>0</v>
      </c>
      <c r="G427" s="17">
        <v>0</v>
      </c>
      <c r="H427" s="17">
        <v>0</v>
      </c>
      <c r="I427" s="17">
        <v>80</v>
      </c>
      <c r="J427" s="17">
        <v>80</v>
      </c>
      <c r="K427" s="16" t="s">
        <v>48</v>
      </c>
    </row>
    <row r="428" spans="1:11" x14ac:dyDescent="0.35">
      <c r="A428" s="16">
        <v>588328</v>
      </c>
      <c r="B428" s="16"/>
      <c r="C428" s="17">
        <v>0</v>
      </c>
      <c r="D428" s="17">
        <v>0</v>
      </c>
      <c r="E428" s="17">
        <v>0</v>
      </c>
      <c r="F428" s="17">
        <v>0</v>
      </c>
      <c r="G428" s="17">
        <v>0</v>
      </c>
      <c r="H428" s="17">
        <v>0</v>
      </c>
      <c r="I428" s="17">
        <v>74.099999999999994</v>
      </c>
      <c r="J428" s="17">
        <v>74.099999999999994</v>
      </c>
      <c r="K428" s="16" t="s">
        <v>48</v>
      </c>
    </row>
    <row r="429" spans="1:11" x14ac:dyDescent="0.35">
      <c r="A429" s="16">
        <v>474680</v>
      </c>
      <c r="B429" s="16"/>
      <c r="C429" s="17">
        <v>0</v>
      </c>
      <c r="D429" s="17">
        <v>0</v>
      </c>
      <c r="E429" s="17">
        <v>0</v>
      </c>
      <c r="F429" s="17">
        <v>0</v>
      </c>
      <c r="G429" s="17">
        <v>0</v>
      </c>
      <c r="H429" s="17">
        <v>0</v>
      </c>
      <c r="I429" s="17">
        <v>73.5</v>
      </c>
      <c r="J429" s="17">
        <v>73.5</v>
      </c>
      <c r="K429" s="16" t="s">
        <v>48</v>
      </c>
    </row>
    <row r="430" spans="1:11" x14ac:dyDescent="0.35">
      <c r="A430" s="16">
        <v>478300</v>
      </c>
      <c r="B430" s="16"/>
      <c r="C430" s="17">
        <v>72.260000000000005</v>
      </c>
      <c r="D430" s="17">
        <v>0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72.260000000000005</v>
      </c>
      <c r="K430" s="16" t="s">
        <v>48</v>
      </c>
    </row>
    <row r="431" spans="1:11" x14ac:dyDescent="0.35">
      <c r="A431" s="16">
        <v>478794</v>
      </c>
      <c r="B431" s="16"/>
      <c r="C431" s="17">
        <v>72.150000000000006</v>
      </c>
      <c r="D431" s="17">
        <v>0</v>
      </c>
      <c r="E431" s="17">
        <v>0</v>
      </c>
      <c r="F431" s="17">
        <v>0</v>
      </c>
      <c r="G431" s="17">
        <v>0</v>
      </c>
      <c r="H431" s="17">
        <v>0</v>
      </c>
      <c r="I431" s="17">
        <v>0</v>
      </c>
      <c r="J431" s="17">
        <v>72.150000000000006</v>
      </c>
      <c r="K431" s="16" t="s">
        <v>49</v>
      </c>
    </row>
    <row r="432" spans="1:11" x14ac:dyDescent="0.35">
      <c r="A432" s="16">
        <v>835704</v>
      </c>
      <c r="B432" s="16"/>
      <c r="C432" s="17">
        <v>71.239999999999995</v>
      </c>
      <c r="D432" s="17">
        <v>0</v>
      </c>
      <c r="E432" s="17">
        <v>0</v>
      </c>
      <c r="F432" s="17">
        <v>0</v>
      </c>
      <c r="G432" s="17">
        <v>0</v>
      </c>
      <c r="H432" s="17">
        <v>0</v>
      </c>
      <c r="I432" s="17">
        <v>0</v>
      </c>
      <c r="J432" s="17">
        <v>71.239999999999995</v>
      </c>
      <c r="K432" s="16" t="s">
        <v>49</v>
      </c>
    </row>
    <row r="433" spans="1:11" x14ac:dyDescent="0.35">
      <c r="A433" s="16">
        <v>522497</v>
      </c>
      <c r="B433" s="16"/>
      <c r="C433" s="17">
        <v>69.510000000000005</v>
      </c>
      <c r="D433" s="17">
        <v>0</v>
      </c>
      <c r="E433" s="17">
        <v>0</v>
      </c>
      <c r="F433" s="17">
        <v>0</v>
      </c>
      <c r="G433" s="17">
        <v>0</v>
      </c>
      <c r="H433" s="17">
        <v>0</v>
      </c>
      <c r="I433" s="17">
        <v>0</v>
      </c>
      <c r="J433" s="17">
        <v>69.510000000000005</v>
      </c>
      <c r="K433" s="16" t="s">
        <v>49</v>
      </c>
    </row>
    <row r="434" spans="1:11" x14ac:dyDescent="0.35">
      <c r="A434" s="16">
        <v>478976</v>
      </c>
      <c r="B434" s="16"/>
      <c r="C434" s="17">
        <v>67.17</v>
      </c>
      <c r="D434" s="17">
        <v>0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67.17</v>
      </c>
      <c r="K434" s="16" t="s">
        <v>49</v>
      </c>
    </row>
    <row r="435" spans="1:11" x14ac:dyDescent="0.35">
      <c r="A435" s="16">
        <v>793994</v>
      </c>
      <c r="B435" s="16"/>
      <c r="C435" s="17">
        <v>65.41</v>
      </c>
      <c r="D435" s="17">
        <v>0</v>
      </c>
      <c r="E435" s="17">
        <v>0</v>
      </c>
      <c r="F435" s="17">
        <v>0</v>
      </c>
      <c r="G435" s="17">
        <v>0</v>
      </c>
      <c r="H435" s="17">
        <v>0</v>
      </c>
      <c r="I435" s="17">
        <v>0</v>
      </c>
      <c r="J435" s="17">
        <v>65.41</v>
      </c>
      <c r="K435" s="16" t="s">
        <v>48</v>
      </c>
    </row>
    <row r="436" spans="1:11" x14ac:dyDescent="0.35">
      <c r="A436" s="16">
        <v>476657</v>
      </c>
      <c r="B436" s="16"/>
      <c r="C436" s="17">
        <v>65</v>
      </c>
      <c r="D436" s="17">
        <v>0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65</v>
      </c>
      <c r="K436" s="16" t="s">
        <v>48</v>
      </c>
    </row>
    <row r="437" spans="1:11" x14ac:dyDescent="0.35">
      <c r="A437" s="16">
        <v>617328</v>
      </c>
      <c r="B437" s="16"/>
      <c r="C437" s="17">
        <v>64.91</v>
      </c>
      <c r="D437" s="17">
        <v>0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64.91</v>
      </c>
      <c r="K437" s="16" t="s">
        <v>48</v>
      </c>
    </row>
    <row r="438" spans="1:11" x14ac:dyDescent="0.35">
      <c r="A438" s="16">
        <v>478974</v>
      </c>
      <c r="B438" s="16"/>
      <c r="C438" s="17">
        <v>0</v>
      </c>
      <c r="D438" s="17">
        <v>0</v>
      </c>
      <c r="E438" s="17">
        <v>0</v>
      </c>
      <c r="F438" s="17">
        <v>0</v>
      </c>
      <c r="G438" s="17">
        <v>0</v>
      </c>
      <c r="H438" s="17">
        <v>0</v>
      </c>
      <c r="I438" s="17">
        <v>64.28</v>
      </c>
      <c r="J438" s="17">
        <v>64.28</v>
      </c>
      <c r="K438" s="16" t="s">
        <v>49</v>
      </c>
    </row>
    <row r="439" spans="1:11" x14ac:dyDescent="0.35">
      <c r="A439" s="16">
        <v>474475</v>
      </c>
      <c r="B439" s="16"/>
      <c r="C439" s="17">
        <v>0</v>
      </c>
      <c r="D439" s="17">
        <v>0</v>
      </c>
      <c r="E439" s="17">
        <v>0</v>
      </c>
      <c r="F439" s="17">
        <v>0</v>
      </c>
      <c r="G439" s="17">
        <v>0</v>
      </c>
      <c r="H439" s="17">
        <v>0</v>
      </c>
      <c r="I439" s="17">
        <v>64.069999999999993</v>
      </c>
      <c r="J439" s="17">
        <v>64.069999999999993</v>
      </c>
      <c r="K439" s="16" t="s">
        <v>48</v>
      </c>
    </row>
    <row r="440" spans="1:11" x14ac:dyDescent="0.35">
      <c r="A440" s="16">
        <v>696866</v>
      </c>
      <c r="B440" s="16"/>
      <c r="C440" s="17">
        <v>63.73</v>
      </c>
      <c r="D440" s="17">
        <v>0</v>
      </c>
      <c r="E440" s="17">
        <v>0</v>
      </c>
      <c r="F440" s="17">
        <v>0</v>
      </c>
      <c r="G440" s="17">
        <v>0</v>
      </c>
      <c r="H440" s="17">
        <v>0</v>
      </c>
      <c r="I440" s="17">
        <v>0</v>
      </c>
      <c r="J440" s="17">
        <v>63.73</v>
      </c>
      <c r="K440" s="16" t="s">
        <v>48</v>
      </c>
    </row>
    <row r="441" spans="1:11" x14ac:dyDescent="0.35">
      <c r="A441" s="16">
        <v>477738</v>
      </c>
      <c r="B441" s="16"/>
      <c r="C441" s="17">
        <v>63.5</v>
      </c>
      <c r="D441" s="17">
        <v>0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63.5</v>
      </c>
      <c r="K441" s="16" t="s">
        <v>48</v>
      </c>
    </row>
    <row r="442" spans="1:11" x14ac:dyDescent="0.35">
      <c r="A442" s="16">
        <v>477568</v>
      </c>
      <c r="B442" s="16"/>
      <c r="C442" s="17">
        <v>63.41</v>
      </c>
      <c r="D442" s="17">
        <v>0</v>
      </c>
      <c r="E442" s="17">
        <v>0</v>
      </c>
      <c r="F442" s="17">
        <v>0</v>
      </c>
      <c r="G442" s="17">
        <v>0</v>
      </c>
      <c r="H442" s="17">
        <v>0</v>
      </c>
      <c r="I442" s="17">
        <v>0</v>
      </c>
      <c r="J442" s="17">
        <v>63.41</v>
      </c>
      <c r="K442" s="16" t="s">
        <v>48</v>
      </c>
    </row>
    <row r="443" spans="1:11" x14ac:dyDescent="0.35">
      <c r="A443" s="16">
        <v>478542</v>
      </c>
      <c r="B443" s="16"/>
      <c r="C443" s="17">
        <v>62.16</v>
      </c>
      <c r="D443" s="17">
        <v>0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62.16</v>
      </c>
      <c r="K443" s="16" t="s">
        <v>48</v>
      </c>
    </row>
    <row r="444" spans="1:11" x14ac:dyDescent="0.35">
      <c r="A444" s="16">
        <v>477565</v>
      </c>
      <c r="B444" s="16"/>
      <c r="C444" s="17">
        <v>62.13</v>
      </c>
      <c r="D444" s="17">
        <v>0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62.13</v>
      </c>
      <c r="K444" s="16" t="s">
        <v>48</v>
      </c>
    </row>
    <row r="445" spans="1:11" x14ac:dyDescent="0.35">
      <c r="A445" s="16">
        <v>477996</v>
      </c>
      <c r="B445" s="16"/>
      <c r="C445" s="17">
        <v>61.84</v>
      </c>
      <c r="D445" s="17">
        <v>0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61.84</v>
      </c>
      <c r="K445" s="16" t="s">
        <v>48</v>
      </c>
    </row>
    <row r="446" spans="1:11" x14ac:dyDescent="0.35">
      <c r="A446" s="16">
        <v>766740</v>
      </c>
      <c r="B446" s="16"/>
      <c r="C446" s="17">
        <v>61.74</v>
      </c>
      <c r="D446" s="17">
        <v>0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61.74</v>
      </c>
      <c r="K446" s="16" t="s">
        <v>48</v>
      </c>
    </row>
    <row r="447" spans="1:11" x14ac:dyDescent="0.35">
      <c r="A447" s="16">
        <v>478112</v>
      </c>
      <c r="B447" s="16"/>
      <c r="C447" s="17">
        <v>61.64</v>
      </c>
      <c r="D447" s="17">
        <v>0</v>
      </c>
      <c r="E447" s="17">
        <v>0</v>
      </c>
      <c r="F447" s="17">
        <v>0</v>
      </c>
      <c r="G447" s="17">
        <v>0</v>
      </c>
      <c r="H447" s="17">
        <v>0</v>
      </c>
      <c r="I447" s="17">
        <v>0</v>
      </c>
      <c r="J447" s="17">
        <v>61.64</v>
      </c>
      <c r="K447" s="16" t="s">
        <v>48</v>
      </c>
    </row>
    <row r="448" spans="1:11" x14ac:dyDescent="0.35">
      <c r="A448" s="16">
        <v>477956</v>
      </c>
      <c r="B448" s="16"/>
      <c r="C448" s="17">
        <v>61.53</v>
      </c>
      <c r="D448" s="17">
        <v>0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61.53</v>
      </c>
      <c r="K448" s="16" t="s">
        <v>48</v>
      </c>
    </row>
    <row r="449" spans="1:11" x14ac:dyDescent="0.35">
      <c r="A449" s="16">
        <v>475994</v>
      </c>
      <c r="B449" s="16"/>
      <c r="C449" s="17">
        <v>61.49</v>
      </c>
      <c r="D449" s="17">
        <v>0</v>
      </c>
      <c r="E449" s="17">
        <v>0</v>
      </c>
      <c r="F449" s="17">
        <v>0</v>
      </c>
      <c r="G449" s="17">
        <v>0</v>
      </c>
      <c r="H449" s="17">
        <v>0</v>
      </c>
      <c r="I449" s="17">
        <v>0</v>
      </c>
      <c r="J449" s="17">
        <v>61.49</v>
      </c>
      <c r="K449" s="16" t="s">
        <v>48</v>
      </c>
    </row>
    <row r="450" spans="1:11" x14ac:dyDescent="0.35">
      <c r="A450" s="16">
        <v>477563</v>
      </c>
      <c r="B450" s="16"/>
      <c r="C450" s="17">
        <v>61.38</v>
      </c>
      <c r="D450" s="17">
        <v>0</v>
      </c>
      <c r="E450" s="17">
        <v>0</v>
      </c>
      <c r="F450" s="17">
        <v>0</v>
      </c>
      <c r="G450" s="17">
        <v>0</v>
      </c>
      <c r="H450" s="17">
        <v>0</v>
      </c>
      <c r="I450" s="17">
        <v>0</v>
      </c>
      <c r="J450" s="17">
        <v>61.38</v>
      </c>
      <c r="K450" s="16" t="s">
        <v>48</v>
      </c>
    </row>
    <row r="451" spans="1:11" x14ac:dyDescent="0.35">
      <c r="A451" s="16">
        <v>477659</v>
      </c>
      <c r="B451" s="16"/>
      <c r="C451" s="17">
        <v>61.21</v>
      </c>
      <c r="D451" s="17">
        <v>0</v>
      </c>
      <c r="E451" s="17">
        <v>0</v>
      </c>
      <c r="F451" s="17">
        <v>0</v>
      </c>
      <c r="G451" s="17">
        <v>0</v>
      </c>
      <c r="H451" s="17">
        <v>0</v>
      </c>
      <c r="I451" s="17">
        <v>0</v>
      </c>
      <c r="J451" s="17">
        <v>61.21</v>
      </c>
      <c r="K451" s="16" t="s">
        <v>48</v>
      </c>
    </row>
    <row r="452" spans="1:11" x14ac:dyDescent="0.35">
      <c r="A452" s="16">
        <v>477861</v>
      </c>
      <c r="B452" s="16"/>
      <c r="C452" s="17">
        <v>61.21</v>
      </c>
      <c r="D452" s="17">
        <v>0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61.21</v>
      </c>
      <c r="K452" s="16" t="s">
        <v>48</v>
      </c>
    </row>
    <row r="453" spans="1:11" x14ac:dyDescent="0.35">
      <c r="A453" s="16">
        <v>476164</v>
      </c>
      <c r="B453" s="16"/>
      <c r="C453" s="17">
        <v>60.33</v>
      </c>
      <c r="D453" s="17">
        <v>0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17">
        <v>60.33</v>
      </c>
      <c r="K453" s="16" t="s">
        <v>48</v>
      </c>
    </row>
    <row r="454" spans="1:11" x14ac:dyDescent="0.35">
      <c r="A454" s="16">
        <v>475127</v>
      </c>
      <c r="B454" s="16"/>
      <c r="C454" s="17">
        <v>59.44</v>
      </c>
      <c r="D454" s="17">
        <v>0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59.44</v>
      </c>
      <c r="K454" s="16" t="s">
        <v>48</v>
      </c>
    </row>
    <row r="455" spans="1:11" x14ac:dyDescent="0.35">
      <c r="A455" s="16">
        <v>476008</v>
      </c>
      <c r="B455" s="16"/>
      <c r="C455" s="17">
        <v>59.3</v>
      </c>
      <c r="D455" s="17">
        <v>0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59.3</v>
      </c>
      <c r="K455" s="16" t="s">
        <v>48</v>
      </c>
    </row>
    <row r="456" spans="1:11" x14ac:dyDescent="0.35">
      <c r="A456" s="16">
        <v>591706</v>
      </c>
      <c r="B456" s="16"/>
      <c r="C456" s="17">
        <v>58.94</v>
      </c>
      <c r="D456" s="17">
        <v>0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58.94</v>
      </c>
      <c r="K456" s="16" t="s">
        <v>48</v>
      </c>
    </row>
    <row r="457" spans="1:11" x14ac:dyDescent="0.35">
      <c r="A457" s="16">
        <v>476220</v>
      </c>
      <c r="B457" s="16"/>
      <c r="C457" s="17">
        <v>58.4</v>
      </c>
      <c r="D457" s="17">
        <v>0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58.4</v>
      </c>
      <c r="K457" s="16" t="s">
        <v>48</v>
      </c>
    </row>
    <row r="458" spans="1:11" x14ac:dyDescent="0.35">
      <c r="A458" s="16">
        <v>476131</v>
      </c>
      <c r="B458" s="16"/>
      <c r="C458" s="17">
        <v>58.39</v>
      </c>
      <c r="D458" s="17">
        <v>0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58.39</v>
      </c>
      <c r="K458" s="16" t="s">
        <v>48</v>
      </c>
    </row>
    <row r="459" spans="1:11" x14ac:dyDescent="0.35">
      <c r="A459" s="16">
        <v>477416</v>
      </c>
      <c r="B459" s="16"/>
      <c r="C459" s="17">
        <v>58.19</v>
      </c>
      <c r="D459" s="17">
        <v>0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58.19</v>
      </c>
      <c r="K459" s="16" t="s">
        <v>48</v>
      </c>
    </row>
    <row r="460" spans="1:11" x14ac:dyDescent="0.35">
      <c r="A460" s="16">
        <v>474743</v>
      </c>
      <c r="B460" s="16"/>
      <c r="C460" s="17">
        <v>57.14</v>
      </c>
      <c r="D460" s="17">
        <v>0</v>
      </c>
      <c r="E460" s="17">
        <v>0.96</v>
      </c>
      <c r="F460" s="17">
        <v>0</v>
      </c>
      <c r="G460" s="17">
        <v>0</v>
      </c>
      <c r="H460" s="17">
        <v>0</v>
      </c>
      <c r="I460" s="17">
        <v>0</v>
      </c>
      <c r="J460" s="17">
        <v>58.1</v>
      </c>
      <c r="K460" s="16" t="s">
        <v>48</v>
      </c>
    </row>
    <row r="461" spans="1:11" x14ac:dyDescent="0.35">
      <c r="A461" s="16">
        <v>874703</v>
      </c>
      <c r="B461" s="16"/>
      <c r="C461" s="17">
        <v>57.58</v>
      </c>
      <c r="D461" s="17">
        <v>0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57.58</v>
      </c>
      <c r="K461" s="16" t="s">
        <v>48</v>
      </c>
    </row>
    <row r="462" spans="1:11" x14ac:dyDescent="0.35">
      <c r="A462" s="16">
        <v>475268</v>
      </c>
      <c r="B462" s="16"/>
      <c r="C462" s="17">
        <v>57.3</v>
      </c>
      <c r="D462" s="17">
        <v>0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57.3</v>
      </c>
      <c r="K462" s="16" t="s">
        <v>48</v>
      </c>
    </row>
    <row r="463" spans="1:11" x14ac:dyDescent="0.35">
      <c r="A463" s="16">
        <v>778474</v>
      </c>
      <c r="B463" s="16"/>
      <c r="C463" s="17">
        <v>57.26</v>
      </c>
      <c r="D463" s="17">
        <v>0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57.26</v>
      </c>
      <c r="K463" s="16" t="s">
        <v>48</v>
      </c>
    </row>
    <row r="464" spans="1:11" x14ac:dyDescent="0.35">
      <c r="A464" s="16">
        <v>475090</v>
      </c>
      <c r="B464" s="16"/>
      <c r="C464" s="17">
        <v>0</v>
      </c>
      <c r="D464" s="17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57.03</v>
      </c>
      <c r="J464" s="17">
        <v>57.03</v>
      </c>
      <c r="K464" s="16" t="s">
        <v>48</v>
      </c>
    </row>
    <row r="465" spans="1:11" x14ac:dyDescent="0.35">
      <c r="A465" s="16">
        <v>474881</v>
      </c>
      <c r="B465" s="16"/>
      <c r="C465" s="17">
        <v>56.07</v>
      </c>
      <c r="D465" s="17">
        <v>0</v>
      </c>
      <c r="E465" s="17">
        <v>0</v>
      </c>
      <c r="F465" s="17">
        <v>0</v>
      </c>
      <c r="G465" s="17">
        <v>0</v>
      </c>
      <c r="H465" s="17">
        <v>0</v>
      </c>
      <c r="I465" s="17">
        <v>0</v>
      </c>
      <c r="J465" s="17">
        <v>56.07</v>
      </c>
      <c r="K465" s="16" t="s">
        <v>48</v>
      </c>
    </row>
    <row r="466" spans="1:11" x14ac:dyDescent="0.35">
      <c r="A466" s="16">
        <v>474678</v>
      </c>
      <c r="B466" s="16"/>
      <c r="C466" s="17">
        <v>55.75</v>
      </c>
      <c r="D466" s="17">
        <v>0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55.75</v>
      </c>
      <c r="K466" s="16" t="s">
        <v>48</v>
      </c>
    </row>
    <row r="467" spans="1:11" x14ac:dyDescent="0.35">
      <c r="A467" s="16">
        <v>476852</v>
      </c>
      <c r="B467" s="16"/>
      <c r="C467" s="17">
        <v>54.4</v>
      </c>
      <c r="D467" s="17">
        <v>0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54.4</v>
      </c>
      <c r="K467" s="16" t="s">
        <v>48</v>
      </c>
    </row>
    <row r="468" spans="1:11" x14ac:dyDescent="0.35">
      <c r="A468" s="16">
        <v>479780</v>
      </c>
      <c r="B468" s="16"/>
      <c r="C468" s="17">
        <v>0</v>
      </c>
      <c r="D468" s="17">
        <v>0</v>
      </c>
      <c r="E468" s="17">
        <v>0</v>
      </c>
      <c r="F468" s="17">
        <v>0</v>
      </c>
      <c r="G468" s="17">
        <v>0</v>
      </c>
      <c r="H468" s="17">
        <v>0</v>
      </c>
      <c r="I468" s="17">
        <v>54</v>
      </c>
      <c r="J468" s="17">
        <v>54</v>
      </c>
      <c r="K468" s="16" t="s">
        <v>48</v>
      </c>
    </row>
    <row r="469" spans="1:11" x14ac:dyDescent="0.35">
      <c r="A469" s="16">
        <v>478240</v>
      </c>
      <c r="B469" s="16"/>
      <c r="C469" s="17">
        <v>51.32</v>
      </c>
      <c r="D469" s="17">
        <v>0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51.32</v>
      </c>
      <c r="K469" s="16" t="s">
        <v>48</v>
      </c>
    </row>
    <row r="470" spans="1:11" x14ac:dyDescent="0.35">
      <c r="A470" s="16">
        <v>475504</v>
      </c>
      <c r="B470" s="16"/>
      <c r="C470" s="17">
        <v>50.93</v>
      </c>
      <c r="D470" s="17">
        <v>0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50.93</v>
      </c>
      <c r="K470" s="16" t="s">
        <v>48</v>
      </c>
    </row>
    <row r="471" spans="1:11" x14ac:dyDescent="0.35">
      <c r="A471" s="16">
        <v>475625</v>
      </c>
      <c r="B471" s="16"/>
      <c r="C471" s="17">
        <v>50.73</v>
      </c>
      <c r="D471" s="17">
        <v>0</v>
      </c>
      <c r="E471" s="17">
        <v>0</v>
      </c>
      <c r="F471" s="17">
        <v>0</v>
      </c>
      <c r="G471" s="17">
        <v>0</v>
      </c>
      <c r="H471" s="17">
        <v>0</v>
      </c>
      <c r="I471" s="17">
        <v>0</v>
      </c>
      <c r="J471" s="17">
        <v>50.73</v>
      </c>
      <c r="K471" s="16" t="s">
        <v>48</v>
      </c>
    </row>
    <row r="472" spans="1:11" x14ac:dyDescent="0.35">
      <c r="A472" s="16">
        <v>478367</v>
      </c>
      <c r="B472" s="16"/>
      <c r="C472" s="17">
        <v>50.68</v>
      </c>
      <c r="D472" s="17">
        <v>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50.68</v>
      </c>
      <c r="K472" s="16" t="s">
        <v>48</v>
      </c>
    </row>
    <row r="473" spans="1:11" x14ac:dyDescent="0.35">
      <c r="A473" s="16">
        <v>476862</v>
      </c>
      <c r="B473" s="16"/>
      <c r="C473" s="17">
        <v>0</v>
      </c>
      <c r="D473" s="17">
        <v>0</v>
      </c>
      <c r="E473" s="17">
        <v>0</v>
      </c>
      <c r="F473" s="17">
        <v>0</v>
      </c>
      <c r="G473" s="17">
        <v>50</v>
      </c>
      <c r="H473" s="17">
        <v>0</v>
      </c>
      <c r="I473" s="17">
        <v>0</v>
      </c>
      <c r="J473" s="17">
        <v>50</v>
      </c>
      <c r="K473" s="16" t="s">
        <v>48</v>
      </c>
    </row>
    <row r="474" spans="1:11" x14ac:dyDescent="0.35">
      <c r="A474" s="16">
        <v>477175</v>
      </c>
      <c r="B474" s="16"/>
      <c r="C474" s="17">
        <v>0</v>
      </c>
      <c r="D474" s="17">
        <v>0</v>
      </c>
      <c r="E474" s="17">
        <v>0</v>
      </c>
      <c r="F474" s="17">
        <v>0</v>
      </c>
      <c r="G474" s="17">
        <v>50</v>
      </c>
      <c r="H474" s="17">
        <v>0</v>
      </c>
      <c r="I474" s="17">
        <v>0</v>
      </c>
      <c r="J474" s="17">
        <v>50</v>
      </c>
      <c r="K474" s="16" t="s">
        <v>48</v>
      </c>
    </row>
    <row r="475" spans="1:11" x14ac:dyDescent="0.35">
      <c r="A475" s="16">
        <v>478420</v>
      </c>
      <c r="B475" s="16"/>
      <c r="C475" s="17">
        <v>0</v>
      </c>
      <c r="D475" s="17">
        <v>0</v>
      </c>
      <c r="E475" s="17">
        <v>0</v>
      </c>
      <c r="F475" s="17">
        <v>0</v>
      </c>
      <c r="G475" s="17">
        <v>0</v>
      </c>
      <c r="H475" s="17">
        <v>0</v>
      </c>
      <c r="I475" s="17">
        <v>50</v>
      </c>
      <c r="J475" s="17">
        <v>50</v>
      </c>
      <c r="K475" s="16" t="s">
        <v>50</v>
      </c>
    </row>
    <row r="476" spans="1:11" x14ac:dyDescent="0.35">
      <c r="A476" s="16">
        <v>492555</v>
      </c>
      <c r="B476" s="16"/>
      <c r="C476" s="17">
        <v>0</v>
      </c>
      <c r="D476" s="17">
        <v>0</v>
      </c>
      <c r="E476" s="17">
        <v>0</v>
      </c>
      <c r="F476" s="17">
        <v>0</v>
      </c>
      <c r="G476" s="17">
        <v>0</v>
      </c>
      <c r="H476" s="17">
        <v>0</v>
      </c>
      <c r="I476" s="17">
        <v>50</v>
      </c>
      <c r="J476" s="17">
        <v>50</v>
      </c>
      <c r="K476" s="16" t="s">
        <v>48</v>
      </c>
    </row>
    <row r="477" spans="1:11" x14ac:dyDescent="0.35">
      <c r="A477" s="16">
        <v>475286</v>
      </c>
      <c r="B477" s="16"/>
      <c r="C477" s="17">
        <v>0</v>
      </c>
      <c r="D477" s="17">
        <v>0</v>
      </c>
      <c r="E477" s="17">
        <v>49.22</v>
      </c>
      <c r="F477" s="17">
        <v>0</v>
      </c>
      <c r="G477" s="17">
        <v>0</v>
      </c>
      <c r="H477" s="17">
        <v>0</v>
      </c>
      <c r="I477" s="17">
        <v>0</v>
      </c>
      <c r="J477" s="17">
        <v>49.22</v>
      </c>
      <c r="K477" s="16" t="s">
        <v>48</v>
      </c>
    </row>
    <row r="478" spans="1:11" x14ac:dyDescent="0.35">
      <c r="A478" s="16">
        <v>476035</v>
      </c>
      <c r="B478" s="16"/>
      <c r="C478" s="17">
        <v>0</v>
      </c>
      <c r="D478" s="17">
        <v>0</v>
      </c>
      <c r="E478" s="17">
        <v>0</v>
      </c>
      <c r="F478" s="17">
        <v>0</v>
      </c>
      <c r="G478" s="17">
        <v>0</v>
      </c>
      <c r="H478" s="17">
        <v>0</v>
      </c>
      <c r="I478" s="17">
        <v>45.55</v>
      </c>
      <c r="J478" s="17">
        <v>45.55</v>
      </c>
      <c r="K478" s="16" t="s">
        <v>48</v>
      </c>
    </row>
    <row r="479" spans="1:11" x14ac:dyDescent="0.35">
      <c r="A479" s="16">
        <v>474967</v>
      </c>
      <c r="B479" s="16"/>
      <c r="C479" s="17">
        <v>0</v>
      </c>
      <c r="D479" s="17">
        <v>0</v>
      </c>
      <c r="E479" s="17">
        <v>0</v>
      </c>
      <c r="F479" s="17">
        <v>0</v>
      </c>
      <c r="G479" s="17">
        <v>0</v>
      </c>
      <c r="H479" s="17">
        <v>0</v>
      </c>
      <c r="I479" s="17">
        <v>45.38</v>
      </c>
      <c r="J479" s="17">
        <v>45.38</v>
      </c>
      <c r="K479" s="16" t="s">
        <v>48</v>
      </c>
    </row>
    <row r="480" spans="1:11" x14ac:dyDescent="0.35">
      <c r="A480" s="16">
        <v>474571</v>
      </c>
      <c r="B480" s="16"/>
      <c r="C480" s="17">
        <v>0</v>
      </c>
      <c r="D480" s="17">
        <v>0</v>
      </c>
      <c r="E480" s="17">
        <v>0</v>
      </c>
      <c r="F480" s="17">
        <v>0</v>
      </c>
      <c r="G480" s="17">
        <v>0</v>
      </c>
      <c r="H480" s="17">
        <v>0</v>
      </c>
      <c r="I480" s="17">
        <v>45</v>
      </c>
      <c r="J480" s="17">
        <v>45</v>
      </c>
      <c r="K480" s="16" t="s">
        <v>49</v>
      </c>
    </row>
    <row r="481" spans="1:11" x14ac:dyDescent="0.35">
      <c r="A481" s="16">
        <v>476689</v>
      </c>
      <c r="B481" s="16"/>
      <c r="C481" s="17">
        <v>0</v>
      </c>
      <c r="D481" s="17">
        <v>0</v>
      </c>
      <c r="E481" s="17">
        <v>44.75</v>
      </c>
      <c r="F481" s="17">
        <v>0</v>
      </c>
      <c r="G481" s="17">
        <v>0</v>
      </c>
      <c r="H481" s="17">
        <v>0</v>
      </c>
      <c r="I481" s="17">
        <v>0</v>
      </c>
      <c r="J481" s="17">
        <v>44.75</v>
      </c>
      <c r="K481" s="16" t="s">
        <v>48</v>
      </c>
    </row>
    <row r="482" spans="1:11" x14ac:dyDescent="0.35">
      <c r="A482" s="16">
        <v>477849</v>
      </c>
      <c r="B482" s="16"/>
      <c r="C482" s="17">
        <v>0</v>
      </c>
      <c r="D482" s="17">
        <v>0</v>
      </c>
      <c r="E482" s="17">
        <v>40.46</v>
      </c>
      <c r="F482" s="17">
        <v>0</v>
      </c>
      <c r="G482" s="17">
        <v>0</v>
      </c>
      <c r="H482" s="17">
        <v>0</v>
      </c>
      <c r="I482" s="17">
        <v>0</v>
      </c>
      <c r="J482" s="17">
        <v>40.46</v>
      </c>
      <c r="K482" s="16" t="s">
        <v>48</v>
      </c>
    </row>
    <row r="483" spans="1:11" x14ac:dyDescent="0.35">
      <c r="A483" s="16">
        <v>474822</v>
      </c>
      <c r="B483" s="16"/>
      <c r="C483" s="17">
        <v>0</v>
      </c>
      <c r="D483" s="17">
        <v>0</v>
      </c>
      <c r="E483" s="17">
        <v>36.799999999999997</v>
      </c>
      <c r="F483" s="17">
        <v>0</v>
      </c>
      <c r="G483" s="17">
        <v>0</v>
      </c>
      <c r="H483" s="17">
        <v>0</v>
      </c>
      <c r="I483" s="17">
        <v>0</v>
      </c>
      <c r="J483" s="17">
        <v>36.799999999999997</v>
      </c>
      <c r="K483" s="16" t="s">
        <v>48</v>
      </c>
    </row>
    <row r="484" spans="1:11" x14ac:dyDescent="0.35">
      <c r="A484" s="16">
        <v>846782</v>
      </c>
      <c r="B484" s="16"/>
      <c r="C484" s="17">
        <v>0</v>
      </c>
      <c r="D484" s="17">
        <v>0</v>
      </c>
      <c r="E484" s="17">
        <v>36.53</v>
      </c>
      <c r="F484" s="17">
        <v>0</v>
      </c>
      <c r="G484" s="17">
        <v>0</v>
      </c>
      <c r="H484" s="17">
        <v>0</v>
      </c>
      <c r="I484" s="17">
        <v>0</v>
      </c>
      <c r="J484" s="17">
        <v>36.53</v>
      </c>
      <c r="K484" s="16" t="s">
        <v>48</v>
      </c>
    </row>
    <row r="485" spans="1:11" x14ac:dyDescent="0.35">
      <c r="A485" s="16">
        <v>475308</v>
      </c>
      <c r="B485" s="16"/>
      <c r="C485" s="17">
        <v>0</v>
      </c>
      <c r="D485" s="17">
        <v>0</v>
      </c>
      <c r="E485" s="17">
        <v>0</v>
      </c>
      <c r="F485" s="17">
        <v>0</v>
      </c>
      <c r="G485" s="17">
        <v>0</v>
      </c>
      <c r="H485" s="17">
        <v>0</v>
      </c>
      <c r="I485" s="17">
        <v>35.950000000000003</v>
      </c>
      <c r="J485" s="17">
        <v>35.950000000000003</v>
      </c>
      <c r="K485" s="16" t="s">
        <v>48</v>
      </c>
    </row>
    <row r="486" spans="1:11" x14ac:dyDescent="0.35">
      <c r="A486" s="16">
        <v>476954</v>
      </c>
      <c r="B486" s="16"/>
      <c r="C486" s="17">
        <v>0</v>
      </c>
      <c r="D486" s="17">
        <v>0</v>
      </c>
      <c r="E486" s="17">
        <v>0</v>
      </c>
      <c r="F486" s="17">
        <v>0</v>
      </c>
      <c r="G486" s="17">
        <v>0</v>
      </c>
      <c r="H486" s="17">
        <v>0</v>
      </c>
      <c r="I486" s="17">
        <v>34.08</v>
      </c>
      <c r="J486" s="17">
        <v>34.08</v>
      </c>
      <c r="K486" s="16" t="s">
        <v>48</v>
      </c>
    </row>
    <row r="487" spans="1:11" x14ac:dyDescent="0.35">
      <c r="A487" s="16">
        <v>477130</v>
      </c>
      <c r="B487" s="16"/>
      <c r="C487" s="17">
        <v>0</v>
      </c>
      <c r="D487" s="17">
        <v>0</v>
      </c>
      <c r="E487" s="17">
        <v>0</v>
      </c>
      <c r="F487" s="17">
        <v>0</v>
      </c>
      <c r="G487" s="17">
        <v>0</v>
      </c>
      <c r="H487" s="17">
        <v>0</v>
      </c>
      <c r="I487" s="17">
        <v>34</v>
      </c>
      <c r="J487" s="17">
        <v>34</v>
      </c>
      <c r="K487" s="16" t="s">
        <v>48</v>
      </c>
    </row>
    <row r="488" spans="1:11" x14ac:dyDescent="0.35">
      <c r="A488" s="16">
        <v>474902</v>
      </c>
      <c r="B488" s="16"/>
      <c r="C488" s="17">
        <v>0</v>
      </c>
      <c r="D488" s="17">
        <v>0</v>
      </c>
      <c r="E488" s="17">
        <v>33.840000000000003</v>
      </c>
      <c r="F488" s="17">
        <v>0</v>
      </c>
      <c r="G488" s="17">
        <v>0</v>
      </c>
      <c r="H488" s="17">
        <v>0</v>
      </c>
      <c r="I488" s="17">
        <v>0</v>
      </c>
      <c r="J488" s="17">
        <v>33.840000000000003</v>
      </c>
      <c r="K488" s="16" t="s">
        <v>48</v>
      </c>
    </row>
    <row r="489" spans="1:11" x14ac:dyDescent="0.35">
      <c r="A489" s="16">
        <v>478307</v>
      </c>
      <c r="B489" s="16"/>
      <c r="C489" s="17">
        <v>0</v>
      </c>
      <c r="D489" s="17">
        <v>0</v>
      </c>
      <c r="E489" s="17">
        <v>0</v>
      </c>
      <c r="F489" s="17">
        <v>0</v>
      </c>
      <c r="G489" s="17">
        <v>0</v>
      </c>
      <c r="H489" s="17">
        <v>0</v>
      </c>
      <c r="I489" s="17">
        <v>33.729999999999997</v>
      </c>
      <c r="J489" s="17">
        <v>33.729999999999997</v>
      </c>
      <c r="K489" s="16" t="s">
        <v>48</v>
      </c>
    </row>
    <row r="490" spans="1:11" x14ac:dyDescent="0.35">
      <c r="A490" s="16">
        <v>474496</v>
      </c>
      <c r="B490" s="16"/>
      <c r="C490" s="17">
        <v>0</v>
      </c>
      <c r="D490" s="17">
        <v>0</v>
      </c>
      <c r="E490" s="17">
        <v>0</v>
      </c>
      <c r="F490" s="17">
        <v>0</v>
      </c>
      <c r="G490" s="17">
        <v>0</v>
      </c>
      <c r="H490" s="17">
        <v>0</v>
      </c>
      <c r="I490" s="17">
        <v>33.32</v>
      </c>
      <c r="J490" s="17">
        <v>33.32</v>
      </c>
      <c r="K490" s="16" t="s">
        <v>48</v>
      </c>
    </row>
    <row r="491" spans="1:11" x14ac:dyDescent="0.35">
      <c r="A491" s="16">
        <v>477984</v>
      </c>
      <c r="B491" s="16"/>
      <c r="C491" s="17">
        <v>0</v>
      </c>
      <c r="D491" s="17">
        <v>0</v>
      </c>
      <c r="E491" s="17">
        <v>32.65</v>
      </c>
      <c r="F491" s="17">
        <v>0</v>
      </c>
      <c r="G491" s="17">
        <v>0</v>
      </c>
      <c r="H491" s="17">
        <v>0</v>
      </c>
      <c r="I491" s="17">
        <v>0</v>
      </c>
      <c r="J491" s="17">
        <v>32.65</v>
      </c>
      <c r="K491" s="16" t="s">
        <v>48</v>
      </c>
    </row>
    <row r="492" spans="1:11" x14ac:dyDescent="0.35">
      <c r="A492" s="16">
        <v>477024</v>
      </c>
      <c r="B492" s="16"/>
      <c r="C492" s="17">
        <v>0</v>
      </c>
      <c r="D492" s="17">
        <v>0</v>
      </c>
      <c r="E492" s="17">
        <v>0</v>
      </c>
      <c r="F492" s="17">
        <v>0</v>
      </c>
      <c r="G492" s="17">
        <v>0</v>
      </c>
      <c r="H492" s="17">
        <v>0</v>
      </c>
      <c r="I492" s="17">
        <v>32.590000000000003</v>
      </c>
      <c r="J492" s="17">
        <v>32.590000000000003</v>
      </c>
      <c r="K492" s="16" t="s">
        <v>48</v>
      </c>
    </row>
    <row r="493" spans="1:11" x14ac:dyDescent="0.35">
      <c r="A493" s="16">
        <v>476033</v>
      </c>
      <c r="B493" s="16"/>
      <c r="C493" s="17">
        <v>0</v>
      </c>
      <c r="D493" s="17">
        <v>0</v>
      </c>
      <c r="E493" s="17">
        <v>0</v>
      </c>
      <c r="F493" s="17">
        <v>0</v>
      </c>
      <c r="G493" s="17">
        <v>0</v>
      </c>
      <c r="H493" s="17">
        <v>0</v>
      </c>
      <c r="I493" s="17">
        <v>32.299999999999997</v>
      </c>
      <c r="J493" s="17">
        <v>32.299999999999997</v>
      </c>
      <c r="K493" s="16" t="s">
        <v>48</v>
      </c>
    </row>
    <row r="494" spans="1:11" x14ac:dyDescent="0.35">
      <c r="A494" s="16">
        <v>477490</v>
      </c>
      <c r="B494" s="16"/>
      <c r="C494" s="17">
        <v>0</v>
      </c>
      <c r="D494" s="17">
        <v>0</v>
      </c>
      <c r="E494" s="17">
        <v>0</v>
      </c>
      <c r="F494" s="17">
        <v>0</v>
      </c>
      <c r="G494" s="17">
        <v>0</v>
      </c>
      <c r="H494" s="17">
        <v>0</v>
      </c>
      <c r="I494" s="17">
        <v>31.89</v>
      </c>
      <c r="J494" s="17">
        <v>31.89</v>
      </c>
      <c r="K494" s="16" t="s">
        <v>48</v>
      </c>
    </row>
    <row r="495" spans="1:11" x14ac:dyDescent="0.35">
      <c r="A495" s="16">
        <v>477447</v>
      </c>
      <c r="B495" s="16"/>
      <c r="C495" s="17">
        <v>0</v>
      </c>
      <c r="D495" s="17">
        <v>0</v>
      </c>
      <c r="E495" s="17">
        <v>0</v>
      </c>
      <c r="F495" s="17">
        <v>0</v>
      </c>
      <c r="G495" s="17">
        <v>0</v>
      </c>
      <c r="H495" s="17">
        <v>0</v>
      </c>
      <c r="I495" s="17">
        <v>31.84</v>
      </c>
      <c r="J495" s="17">
        <v>31.84</v>
      </c>
      <c r="K495" s="16" t="s">
        <v>48</v>
      </c>
    </row>
    <row r="496" spans="1:11" x14ac:dyDescent="0.35">
      <c r="A496" s="16">
        <v>475778</v>
      </c>
      <c r="B496" s="16"/>
      <c r="C496" s="17">
        <v>0</v>
      </c>
      <c r="D496" s="17">
        <v>0</v>
      </c>
      <c r="E496" s="17">
        <v>0</v>
      </c>
      <c r="F496" s="17">
        <v>0</v>
      </c>
      <c r="G496" s="17">
        <v>0</v>
      </c>
      <c r="H496" s="17">
        <v>0</v>
      </c>
      <c r="I496" s="17">
        <v>31.75</v>
      </c>
      <c r="J496" s="17">
        <v>31.75</v>
      </c>
      <c r="K496" s="16" t="s">
        <v>48</v>
      </c>
    </row>
    <row r="497" spans="1:11" x14ac:dyDescent="0.35">
      <c r="A497" s="16">
        <v>475626</v>
      </c>
      <c r="B497" s="16"/>
      <c r="C497" s="17">
        <v>0</v>
      </c>
      <c r="D497" s="17">
        <v>0</v>
      </c>
      <c r="E497" s="17">
        <v>0</v>
      </c>
      <c r="F497" s="17">
        <v>0</v>
      </c>
      <c r="G497" s="17">
        <v>0</v>
      </c>
      <c r="H497" s="17">
        <v>0</v>
      </c>
      <c r="I497" s="17">
        <v>31.68</v>
      </c>
      <c r="J497" s="17">
        <v>31.68</v>
      </c>
      <c r="K497" s="16" t="s">
        <v>48</v>
      </c>
    </row>
    <row r="498" spans="1:11" x14ac:dyDescent="0.35">
      <c r="A498" s="16">
        <v>474469</v>
      </c>
      <c r="B498" s="16"/>
      <c r="C498" s="17">
        <v>0</v>
      </c>
      <c r="D498" s="17">
        <v>0</v>
      </c>
      <c r="E498" s="17">
        <v>0</v>
      </c>
      <c r="F498" s="17">
        <v>0</v>
      </c>
      <c r="G498" s="17">
        <v>0</v>
      </c>
      <c r="H498" s="17">
        <v>0</v>
      </c>
      <c r="I498" s="17">
        <v>31.52</v>
      </c>
      <c r="J498" s="17">
        <v>31.52</v>
      </c>
      <c r="K498" s="16" t="s">
        <v>48</v>
      </c>
    </row>
    <row r="499" spans="1:11" x14ac:dyDescent="0.35">
      <c r="A499" s="16">
        <v>474473</v>
      </c>
      <c r="B499" s="16"/>
      <c r="C499" s="17">
        <v>0</v>
      </c>
      <c r="D499" s="17">
        <v>0</v>
      </c>
      <c r="E499" s="17">
        <v>0</v>
      </c>
      <c r="F499" s="17">
        <v>0</v>
      </c>
      <c r="G499" s="17">
        <v>0</v>
      </c>
      <c r="H499" s="17">
        <v>0</v>
      </c>
      <c r="I499" s="17">
        <v>31.26</v>
      </c>
      <c r="J499" s="17">
        <v>31.26</v>
      </c>
      <c r="K499" s="16" t="s">
        <v>48</v>
      </c>
    </row>
    <row r="500" spans="1:11" x14ac:dyDescent="0.35">
      <c r="A500" s="16">
        <v>475387</v>
      </c>
      <c r="B500" s="16"/>
      <c r="C500" s="17">
        <v>0</v>
      </c>
      <c r="D500" s="17">
        <v>0</v>
      </c>
      <c r="E500" s="17">
        <v>0</v>
      </c>
      <c r="F500" s="17">
        <v>0</v>
      </c>
      <c r="G500" s="17">
        <v>0</v>
      </c>
      <c r="H500" s="17">
        <v>0</v>
      </c>
      <c r="I500" s="17">
        <v>30.67</v>
      </c>
      <c r="J500" s="17">
        <v>30.67</v>
      </c>
      <c r="K500" s="16" t="s">
        <v>48</v>
      </c>
    </row>
    <row r="501" spans="1:11" x14ac:dyDescent="0.35">
      <c r="A501" s="16">
        <v>658338</v>
      </c>
      <c r="B501" s="16"/>
      <c r="C501" s="17">
        <v>0</v>
      </c>
      <c r="D501" s="17">
        <v>0</v>
      </c>
      <c r="E501" s="17">
        <v>0</v>
      </c>
      <c r="F501" s="17">
        <v>0</v>
      </c>
      <c r="G501" s="17">
        <v>0</v>
      </c>
      <c r="H501" s="17">
        <v>0</v>
      </c>
      <c r="I501" s="17">
        <v>30.54</v>
      </c>
      <c r="J501" s="17">
        <v>30.54</v>
      </c>
      <c r="K501" s="16" t="s">
        <v>48</v>
      </c>
    </row>
    <row r="502" spans="1:11" x14ac:dyDescent="0.35">
      <c r="A502" s="16">
        <v>476056</v>
      </c>
      <c r="B502" s="16"/>
      <c r="C502" s="17">
        <v>0</v>
      </c>
      <c r="D502" s="17">
        <v>0</v>
      </c>
      <c r="E502" s="17">
        <v>30</v>
      </c>
      <c r="F502" s="17">
        <v>0</v>
      </c>
      <c r="G502" s="17">
        <v>0</v>
      </c>
      <c r="H502" s="17">
        <v>0</v>
      </c>
      <c r="I502" s="17">
        <v>0</v>
      </c>
      <c r="J502" s="17">
        <v>30</v>
      </c>
      <c r="K502" s="16" t="s">
        <v>48</v>
      </c>
    </row>
    <row r="503" spans="1:11" x14ac:dyDescent="0.35">
      <c r="A503" s="16">
        <v>476448</v>
      </c>
      <c r="B503" s="16"/>
      <c r="C503" s="17">
        <v>0</v>
      </c>
      <c r="D503" s="17">
        <v>0</v>
      </c>
      <c r="E503" s="17">
        <v>0</v>
      </c>
      <c r="F503" s="17">
        <v>30</v>
      </c>
      <c r="G503" s="17">
        <v>0</v>
      </c>
      <c r="H503" s="17">
        <v>0</v>
      </c>
      <c r="I503" s="17">
        <v>0</v>
      </c>
      <c r="J503" s="17">
        <v>30</v>
      </c>
      <c r="K503" s="16" t="s">
        <v>48</v>
      </c>
    </row>
    <row r="504" spans="1:11" x14ac:dyDescent="0.35">
      <c r="A504" s="16">
        <v>478214</v>
      </c>
      <c r="B504" s="16"/>
      <c r="C504" s="17">
        <v>0</v>
      </c>
      <c r="D504" s="17">
        <v>0</v>
      </c>
      <c r="E504" s="17">
        <v>30</v>
      </c>
      <c r="F504" s="17">
        <v>0</v>
      </c>
      <c r="G504" s="17">
        <v>0</v>
      </c>
      <c r="H504" s="17">
        <v>0</v>
      </c>
      <c r="I504" s="17">
        <v>0</v>
      </c>
      <c r="J504" s="17">
        <v>30</v>
      </c>
      <c r="K504" s="16" t="s">
        <v>48</v>
      </c>
    </row>
    <row r="505" spans="1:11" x14ac:dyDescent="0.35">
      <c r="A505" s="16">
        <v>478345</v>
      </c>
      <c r="B505" s="16"/>
      <c r="C505" s="17">
        <v>0</v>
      </c>
      <c r="D505" s="17">
        <v>0</v>
      </c>
      <c r="E505" s="17">
        <v>30</v>
      </c>
      <c r="F505" s="17">
        <v>0</v>
      </c>
      <c r="G505" s="17">
        <v>0</v>
      </c>
      <c r="H505" s="17">
        <v>0</v>
      </c>
      <c r="I505" s="17">
        <v>0</v>
      </c>
      <c r="J505" s="17">
        <v>30</v>
      </c>
      <c r="K505" s="16" t="s">
        <v>48</v>
      </c>
    </row>
    <row r="506" spans="1:11" x14ac:dyDescent="0.35">
      <c r="A506" s="16">
        <v>687793</v>
      </c>
      <c r="B506" s="16"/>
      <c r="C506" s="17">
        <v>0</v>
      </c>
      <c r="D506" s="17">
        <v>0</v>
      </c>
      <c r="E506" s="17">
        <v>30</v>
      </c>
      <c r="F506" s="17">
        <v>0</v>
      </c>
      <c r="G506" s="17">
        <v>0</v>
      </c>
      <c r="H506" s="17">
        <v>0</v>
      </c>
      <c r="I506" s="17">
        <v>0</v>
      </c>
      <c r="J506" s="17">
        <v>30</v>
      </c>
      <c r="K506" s="16" t="s">
        <v>48</v>
      </c>
    </row>
    <row r="507" spans="1:11" x14ac:dyDescent="0.35">
      <c r="A507" s="16">
        <v>474488</v>
      </c>
      <c r="B507" s="16"/>
      <c r="C507" s="17">
        <v>0</v>
      </c>
      <c r="D507" s="17">
        <v>0</v>
      </c>
      <c r="E507" s="17">
        <v>0</v>
      </c>
      <c r="F507" s="17">
        <v>0</v>
      </c>
      <c r="G507" s="17">
        <v>0</v>
      </c>
      <c r="H507" s="17">
        <v>0</v>
      </c>
      <c r="I507" s="17">
        <v>29.52</v>
      </c>
      <c r="J507" s="17">
        <v>29.52</v>
      </c>
      <c r="K507" s="16" t="s">
        <v>48</v>
      </c>
    </row>
    <row r="508" spans="1:11" x14ac:dyDescent="0.35">
      <c r="A508" s="16">
        <v>475744</v>
      </c>
      <c r="B508" s="16"/>
      <c r="C508" s="17">
        <v>0</v>
      </c>
      <c r="D508" s="17">
        <v>0</v>
      </c>
      <c r="E508" s="17">
        <v>28.57</v>
      </c>
      <c r="F508" s="17">
        <v>0</v>
      </c>
      <c r="G508" s="17">
        <v>0</v>
      </c>
      <c r="H508" s="17">
        <v>0</v>
      </c>
      <c r="I508" s="17">
        <v>0</v>
      </c>
      <c r="J508" s="17">
        <v>28.57</v>
      </c>
      <c r="K508" s="16" t="s">
        <v>48</v>
      </c>
    </row>
    <row r="509" spans="1:11" x14ac:dyDescent="0.35">
      <c r="A509" s="16">
        <v>476064</v>
      </c>
      <c r="B509" s="16"/>
      <c r="C509" s="17">
        <v>0</v>
      </c>
      <c r="D509" s="17">
        <v>0</v>
      </c>
      <c r="E509" s="17">
        <v>0</v>
      </c>
      <c r="F509" s="17">
        <v>0</v>
      </c>
      <c r="G509" s="17">
        <v>0</v>
      </c>
      <c r="H509" s="17">
        <v>0</v>
      </c>
      <c r="I509" s="17">
        <v>25</v>
      </c>
      <c r="J509" s="17">
        <v>25</v>
      </c>
      <c r="K509" s="16" t="s">
        <v>48</v>
      </c>
    </row>
    <row r="510" spans="1:11" x14ac:dyDescent="0.35">
      <c r="A510" s="16">
        <v>478579</v>
      </c>
      <c r="B510" s="16"/>
      <c r="C510" s="17">
        <v>0</v>
      </c>
      <c r="D510" s="17">
        <v>0</v>
      </c>
      <c r="E510" s="17">
        <v>0</v>
      </c>
      <c r="F510" s="17">
        <v>0</v>
      </c>
      <c r="G510" s="17">
        <v>0</v>
      </c>
      <c r="H510" s="17">
        <v>0</v>
      </c>
      <c r="I510" s="17">
        <v>25</v>
      </c>
      <c r="J510" s="17">
        <v>25</v>
      </c>
      <c r="K510" s="16" t="s">
        <v>48</v>
      </c>
    </row>
    <row r="511" spans="1:11" x14ac:dyDescent="0.35">
      <c r="A511" s="16">
        <v>706824</v>
      </c>
      <c r="B511" s="16"/>
      <c r="C511" s="17">
        <v>0</v>
      </c>
      <c r="D511" s="17">
        <v>0</v>
      </c>
      <c r="E511" s="17">
        <v>0</v>
      </c>
      <c r="F511" s="17">
        <v>0</v>
      </c>
      <c r="G511" s="17">
        <v>0</v>
      </c>
      <c r="H511" s="17">
        <v>0</v>
      </c>
      <c r="I511" s="17">
        <v>25</v>
      </c>
      <c r="J511" s="17">
        <v>25</v>
      </c>
      <c r="K511" s="16" t="s">
        <v>48</v>
      </c>
    </row>
    <row r="512" spans="1:11" x14ac:dyDescent="0.35">
      <c r="A512" s="16">
        <v>475821</v>
      </c>
      <c r="B512" s="16" t="s">
        <v>30</v>
      </c>
      <c r="C512" s="17">
        <v>0</v>
      </c>
      <c r="D512" s="17">
        <v>0</v>
      </c>
      <c r="E512" s="17">
        <v>0</v>
      </c>
      <c r="F512" s="17">
        <v>0</v>
      </c>
      <c r="G512" s="17">
        <v>0</v>
      </c>
      <c r="H512" s="17">
        <v>0</v>
      </c>
      <c r="I512" s="17">
        <v>20.239999999999998</v>
      </c>
      <c r="J512" s="17">
        <v>20.239999999999998</v>
      </c>
      <c r="K512" s="16" t="s">
        <v>48</v>
      </c>
    </row>
    <row r="513" spans="1:11" x14ac:dyDescent="0.35">
      <c r="A513" s="16">
        <v>647054</v>
      </c>
      <c r="B513" s="16"/>
      <c r="C513" s="17">
        <v>0</v>
      </c>
      <c r="D513" s="17">
        <v>0</v>
      </c>
      <c r="E513" s="17">
        <v>0</v>
      </c>
      <c r="F513" s="17">
        <v>0</v>
      </c>
      <c r="G513" s="17">
        <v>0</v>
      </c>
      <c r="H513" s="17">
        <v>0</v>
      </c>
      <c r="I513" s="17">
        <v>18</v>
      </c>
      <c r="J513" s="17">
        <v>18</v>
      </c>
      <c r="K513" s="16" t="s">
        <v>48</v>
      </c>
    </row>
    <row r="514" spans="1:11" x14ac:dyDescent="0.35">
      <c r="A514" s="16">
        <v>860172</v>
      </c>
      <c r="B514" s="16"/>
      <c r="C514" s="17">
        <v>0</v>
      </c>
      <c r="D514" s="17">
        <v>0</v>
      </c>
      <c r="E514" s="17">
        <v>18</v>
      </c>
      <c r="F514" s="17">
        <v>0</v>
      </c>
      <c r="G514" s="17">
        <v>0</v>
      </c>
      <c r="H514" s="17">
        <v>0</v>
      </c>
      <c r="I514" s="17">
        <v>0</v>
      </c>
      <c r="J514" s="17">
        <v>18</v>
      </c>
      <c r="K514" s="16" t="s">
        <v>48</v>
      </c>
    </row>
    <row r="515" spans="1:11" x14ac:dyDescent="0.35">
      <c r="A515" s="16">
        <v>475177</v>
      </c>
      <c r="B515" s="16"/>
      <c r="C515" s="17">
        <v>0</v>
      </c>
      <c r="D515" s="17">
        <v>15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15</v>
      </c>
      <c r="K515" s="16" t="s">
        <v>48</v>
      </c>
    </row>
    <row r="516" spans="1:11" x14ac:dyDescent="0.35">
      <c r="A516" s="16">
        <v>849572</v>
      </c>
      <c r="B516" s="16"/>
      <c r="C516" s="17">
        <v>0</v>
      </c>
      <c r="D516" s="17">
        <v>0</v>
      </c>
      <c r="E516" s="17">
        <v>11.68</v>
      </c>
      <c r="F516" s="17">
        <v>0</v>
      </c>
      <c r="G516" s="17">
        <v>0</v>
      </c>
      <c r="H516" s="17">
        <v>0</v>
      </c>
      <c r="I516" s="17">
        <v>0</v>
      </c>
      <c r="J516" s="17">
        <v>11.68</v>
      </c>
      <c r="K516" s="16" t="s">
        <v>48</v>
      </c>
    </row>
    <row r="517" spans="1:11" x14ac:dyDescent="0.35">
      <c r="A517" s="16">
        <v>474993</v>
      </c>
      <c r="B517" s="16"/>
      <c r="C517" s="17">
        <v>0</v>
      </c>
      <c r="D517" s="17">
        <v>0</v>
      </c>
      <c r="E517" s="17">
        <v>0</v>
      </c>
      <c r="F517" s="17">
        <v>0</v>
      </c>
      <c r="G517" s="17">
        <v>0</v>
      </c>
      <c r="H517" s="17">
        <v>0</v>
      </c>
      <c r="I517" s="17">
        <v>9</v>
      </c>
      <c r="J517" s="17">
        <v>9</v>
      </c>
      <c r="K517" s="16" t="s">
        <v>48</v>
      </c>
    </row>
    <row r="518" spans="1:11" x14ac:dyDescent="0.35">
      <c r="A518" s="16">
        <v>476767</v>
      </c>
      <c r="B518" s="16"/>
      <c r="C518" s="17">
        <v>0</v>
      </c>
      <c r="D518" s="17">
        <v>0</v>
      </c>
      <c r="E518" s="17">
        <v>0</v>
      </c>
      <c r="F518" s="17">
        <v>0</v>
      </c>
      <c r="G518" s="17">
        <v>0</v>
      </c>
      <c r="H518" s="17">
        <v>0</v>
      </c>
      <c r="I518" s="17">
        <v>6.4</v>
      </c>
      <c r="J518" s="17">
        <v>6.4</v>
      </c>
      <c r="K518" s="16" t="s">
        <v>48</v>
      </c>
    </row>
    <row r="519" spans="1:11" x14ac:dyDescent="0.35">
      <c r="A519" s="16">
        <v>478301</v>
      </c>
      <c r="B519" s="16"/>
      <c r="C519" s="17">
        <v>0</v>
      </c>
      <c r="D519" s="17">
        <v>0</v>
      </c>
      <c r="E519" s="17">
        <v>5.73</v>
      </c>
      <c r="F519" s="17">
        <v>0</v>
      </c>
      <c r="G519" s="17">
        <v>0</v>
      </c>
      <c r="H519" s="17">
        <v>0</v>
      </c>
      <c r="I519" s="17">
        <v>0</v>
      </c>
      <c r="J519" s="17">
        <v>5.73</v>
      </c>
      <c r="K519" s="16" t="s">
        <v>48</v>
      </c>
    </row>
    <row r="520" spans="1:11" x14ac:dyDescent="0.35">
      <c r="A520" s="16">
        <v>476716</v>
      </c>
      <c r="B520" s="16"/>
      <c r="C520" s="17">
        <v>0</v>
      </c>
      <c r="D520" s="17">
        <v>0</v>
      </c>
      <c r="E520" s="17">
        <v>0.67</v>
      </c>
      <c r="F520" s="17">
        <v>0</v>
      </c>
      <c r="G520" s="17">
        <v>0</v>
      </c>
      <c r="H520" s="17">
        <v>0</v>
      </c>
      <c r="I520" s="17">
        <v>0</v>
      </c>
      <c r="J520" s="17">
        <v>0.67</v>
      </c>
      <c r="K520" s="16" t="s">
        <v>48</v>
      </c>
    </row>
    <row r="521" spans="1:11" x14ac:dyDescent="0.35">
      <c r="A521" s="16">
        <v>478113</v>
      </c>
      <c r="B521" s="16"/>
      <c r="C521" s="17">
        <v>0</v>
      </c>
      <c r="D521" s="17">
        <v>0</v>
      </c>
      <c r="E521" s="17">
        <v>0.55000000000000004</v>
      </c>
      <c r="F521" s="17">
        <v>0</v>
      </c>
      <c r="G521" s="17">
        <v>0</v>
      </c>
      <c r="H521" s="17">
        <v>0</v>
      </c>
      <c r="I521" s="17">
        <v>0</v>
      </c>
      <c r="J521" s="17">
        <v>0.55000000000000004</v>
      </c>
      <c r="K521" s="16" t="s">
        <v>48</v>
      </c>
    </row>
    <row r="522" spans="1:11" x14ac:dyDescent="0.35">
      <c r="A522" s="16">
        <v>478819</v>
      </c>
      <c r="B522" s="16"/>
      <c r="C522" s="17">
        <v>0</v>
      </c>
      <c r="D522" s="17">
        <v>0</v>
      </c>
      <c r="E522" s="17">
        <v>0.35</v>
      </c>
      <c r="F522" s="17">
        <v>0</v>
      </c>
      <c r="G522" s="17">
        <v>0</v>
      </c>
      <c r="H522" s="17">
        <v>0</v>
      </c>
      <c r="I522" s="17">
        <v>0</v>
      </c>
      <c r="J522" s="17">
        <v>0.35</v>
      </c>
      <c r="K522" s="16" t="s">
        <v>49</v>
      </c>
    </row>
    <row r="523" spans="1:11" x14ac:dyDescent="0.35">
      <c r="A523" s="16">
        <v>476622</v>
      </c>
      <c r="B523" s="16"/>
      <c r="C523" s="17">
        <v>0</v>
      </c>
      <c r="D523" s="17">
        <v>0</v>
      </c>
      <c r="E523" s="17">
        <v>0.3</v>
      </c>
      <c r="F523" s="17">
        <v>0</v>
      </c>
      <c r="G523" s="17">
        <v>0</v>
      </c>
      <c r="H523" s="17">
        <v>0</v>
      </c>
      <c r="I523" s="17">
        <v>0</v>
      </c>
      <c r="J523" s="17">
        <v>0.3</v>
      </c>
      <c r="K523" s="16" t="s">
        <v>48</v>
      </c>
    </row>
    <row r="524" spans="1:11" x14ac:dyDescent="0.35">
      <c r="A524" s="16">
        <v>475391</v>
      </c>
      <c r="B524" s="16"/>
      <c r="C524" s="17">
        <v>0</v>
      </c>
      <c r="D524" s="17">
        <v>0</v>
      </c>
      <c r="E524" s="17">
        <v>0</v>
      </c>
      <c r="F524" s="17">
        <v>0</v>
      </c>
      <c r="G524" s="17">
        <v>0</v>
      </c>
      <c r="H524" s="17">
        <v>0</v>
      </c>
      <c r="I524" s="17">
        <v>0.2</v>
      </c>
      <c r="J524" s="17">
        <v>0.2</v>
      </c>
      <c r="K524" s="16" t="s">
        <v>48</v>
      </c>
    </row>
    <row r="525" spans="1:11" x14ac:dyDescent="0.35">
      <c r="A525" s="16">
        <v>476753</v>
      </c>
      <c r="B525" s="16"/>
      <c r="C525" s="17">
        <v>0</v>
      </c>
      <c r="D525" s="17">
        <v>0</v>
      </c>
      <c r="E525" s="17">
        <v>0.2</v>
      </c>
      <c r="F525" s="17">
        <v>0</v>
      </c>
      <c r="G525" s="17">
        <v>0</v>
      </c>
      <c r="H525" s="17">
        <v>0</v>
      </c>
      <c r="I525" s="17">
        <v>0</v>
      </c>
      <c r="J525" s="17">
        <v>0.2</v>
      </c>
      <c r="K525" s="16" t="s">
        <v>48</v>
      </c>
    </row>
    <row r="526" spans="1:11" x14ac:dyDescent="0.35">
      <c r="A526" s="16">
        <v>478123</v>
      </c>
      <c r="B526" s="16"/>
      <c r="C526" s="17">
        <v>0</v>
      </c>
      <c r="D526" s="17">
        <v>0</v>
      </c>
      <c r="E526" s="17">
        <v>0.2</v>
      </c>
      <c r="F526" s="17">
        <v>0</v>
      </c>
      <c r="G526" s="17">
        <v>0</v>
      </c>
      <c r="H526" s="17">
        <v>0</v>
      </c>
      <c r="I526" s="17">
        <v>0</v>
      </c>
      <c r="J526" s="17">
        <v>0.2</v>
      </c>
      <c r="K526" s="16" t="s">
        <v>48</v>
      </c>
    </row>
    <row r="527" spans="1:11" x14ac:dyDescent="0.35">
      <c r="A527" s="16">
        <v>477183</v>
      </c>
      <c r="B527" s="16"/>
      <c r="C527" s="17">
        <v>0</v>
      </c>
      <c r="D527" s="17">
        <v>0</v>
      </c>
      <c r="E527" s="17">
        <v>0.19</v>
      </c>
      <c r="F527" s="17">
        <v>0</v>
      </c>
      <c r="G527" s="17">
        <v>0</v>
      </c>
      <c r="H527" s="17">
        <v>0</v>
      </c>
      <c r="I527" s="17">
        <v>0</v>
      </c>
      <c r="J527" s="17">
        <v>0.19</v>
      </c>
      <c r="K527" s="16" t="s">
        <v>48</v>
      </c>
    </row>
    <row r="528" spans="1:11" x14ac:dyDescent="0.35">
      <c r="A528" s="16">
        <v>477139</v>
      </c>
      <c r="B528" s="16"/>
      <c r="C528" s="17">
        <v>0</v>
      </c>
      <c r="D528" s="17">
        <v>0</v>
      </c>
      <c r="E528" s="17">
        <v>0.14000000000000001</v>
      </c>
      <c r="F528" s="17">
        <v>0</v>
      </c>
      <c r="G528" s="17">
        <v>0</v>
      </c>
      <c r="H528" s="17">
        <v>0</v>
      </c>
      <c r="I528" s="17">
        <v>0</v>
      </c>
      <c r="J528" s="17">
        <v>0.14000000000000001</v>
      </c>
      <c r="K528" s="16" t="s">
        <v>48</v>
      </c>
    </row>
    <row r="529" spans="1:11" x14ac:dyDescent="0.35">
      <c r="A529" s="16">
        <v>475698</v>
      </c>
      <c r="B529" s="16"/>
      <c r="C529" s="17">
        <v>0</v>
      </c>
      <c r="D529" s="17">
        <v>0</v>
      </c>
      <c r="E529" s="17">
        <v>0.1</v>
      </c>
      <c r="F529" s="17">
        <v>0</v>
      </c>
      <c r="G529" s="17">
        <v>0</v>
      </c>
      <c r="H529" s="17">
        <v>0</v>
      </c>
      <c r="I529" s="17">
        <v>0</v>
      </c>
      <c r="J529" s="17">
        <v>0.1</v>
      </c>
      <c r="K529" s="16" t="s">
        <v>48</v>
      </c>
    </row>
    <row r="530" spans="1:11" x14ac:dyDescent="0.35">
      <c r="A530" s="16">
        <v>475864</v>
      </c>
      <c r="B530" s="16"/>
      <c r="C530" s="17">
        <v>0</v>
      </c>
      <c r="D530" s="17">
        <v>0</v>
      </c>
      <c r="E530" s="17">
        <v>0.09</v>
      </c>
      <c r="F530" s="17">
        <v>0</v>
      </c>
      <c r="G530" s="17">
        <v>0</v>
      </c>
      <c r="H530" s="17">
        <v>0</v>
      </c>
      <c r="I530" s="17">
        <v>0</v>
      </c>
      <c r="J530" s="17">
        <v>0.09</v>
      </c>
      <c r="K530" s="16" t="s">
        <v>48</v>
      </c>
    </row>
    <row r="531" spans="1:11" x14ac:dyDescent="0.35">
      <c r="A531" s="16">
        <v>476750</v>
      </c>
      <c r="B531" s="16"/>
      <c r="C531" s="17">
        <v>0.09</v>
      </c>
      <c r="D531" s="17">
        <v>0</v>
      </c>
      <c r="E531" s="17">
        <v>0</v>
      </c>
      <c r="F531" s="17">
        <v>0</v>
      </c>
      <c r="G531" s="17">
        <v>0</v>
      </c>
      <c r="H531" s="17">
        <v>0</v>
      </c>
      <c r="I531" s="17">
        <v>0</v>
      </c>
      <c r="J531" s="17">
        <v>0.09</v>
      </c>
      <c r="K531" s="16" t="s">
        <v>48</v>
      </c>
    </row>
    <row r="532" spans="1:11" x14ac:dyDescent="0.35">
      <c r="A532" s="16">
        <v>478971</v>
      </c>
      <c r="B532" s="16"/>
      <c r="C532" s="17">
        <v>0</v>
      </c>
      <c r="D532" s="17">
        <v>0</v>
      </c>
      <c r="E532" s="17">
        <v>0.09</v>
      </c>
      <c r="F532" s="17">
        <v>0</v>
      </c>
      <c r="G532" s="17">
        <v>0</v>
      </c>
      <c r="H532" s="17">
        <v>0</v>
      </c>
      <c r="I532" s="17">
        <v>0</v>
      </c>
      <c r="J532" s="17">
        <v>0.09</v>
      </c>
      <c r="K532" s="16" t="s">
        <v>49</v>
      </c>
    </row>
    <row r="533" spans="1:11" x14ac:dyDescent="0.35">
      <c r="A533" s="16">
        <v>564108</v>
      </c>
      <c r="B533" s="16"/>
      <c r="C533" s="17">
        <v>0</v>
      </c>
      <c r="D533" s="17">
        <v>0</v>
      </c>
      <c r="E533" s="17">
        <v>0.04</v>
      </c>
      <c r="F533" s="17">
        <v>0</v>
      </c>
      <c r="G533" s="17">
        <v>0</v>
      </c>
      <c r="H533" s="17">
        <v>0</v>
      </c>
      <c r="I533" s="17">
        <v>0</v>
      </c>
      <c r="J533" s="17">
        <v>0.04</v>
      </c>
      <c r="K533" s="16" t="s">
        <v>48</v>
      </c>
    </row>
    <row r="534" spans="1:11" x14ac:dyDescent="0.35">
      <c r="A534" s="16">
        <v>474657</v>
      </c>
      <c r="B534" s="16"/>
      <c r="C534" s="17">
        <v>0.03</v>
      </c>
      <c r="D534" s="17">
        <v>0</v>
      </c>
      <c r="E534" s="17">
        <v>0</v>
      </c>
      <c r="F534" s="17">
        <v>0</v>
      </c>
      <c r="G534" s="17">
        <v>0</v>
      </c>
      <c r="H534" s="17">
        <v>0</v>
      </c>
      <c r="I534" s="17">
        <v>0</v>
      </c>
      <c r="J534" s="17">
        <v>0.03</v>
      </c>
      <c r="K534" s="16" t="s">
        <v>48</v>
      </c>
    </row>
    <row r="535" spans="1:11" x14ac:dyDescent="0.35">
      <c r="A535" s="16">
        <v>477942</v>
      </c>
      <c r="B535" s="16"/>
      <c r="C535" s="17">
        <v>0.03</v>
      </c>
      <c r="D535" s="17">
        <v>0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0.03</v>
      </c>
      <c r="K535" s="16" t="s">
        <v>48</v>
      </c>
    </row>
    <row r="536" spans="1:11" x14ac:dyDescent="0.35">
      <c r="A536" s="16">
        <v>478399</v>
      </c>
      <c r="B536" s="16"/>
      <c r="C536" s="17">
        <v>0</v>
      </c>
      <c r="D536" s="17">
        <v>0</v>
      </c>
      <c r="E536" s="17">
        <v>0.01</v>
      </c>
      <c r="F536" s="17">
        <v>0</v>
      </c>
      <c r="G536" s="17">
        <v>0</v>
      </c>
      <c r="H536" s="17">
        <v>0</v>
      </c>
      <c r="I536" s="17">
        <v>0</v>
      </c>
      <c r="J536" s="17">
        <v>0.01</v>
      </c>
      <c r="K536" s="16" t="s">
        <v>48</v>
      </c>
    </row>
  </sheetData>
  <autoFilter ref="A1:K536" xr:uid="{00000000-0009-0000-0000-000001000000}">
    <sortState xmlns:xlrd2="http://schemas.microsoft.com/office/spreadsheetml/2017/richdata2" ref="A2:K536">
      <sortCondition descending="1" ref="J1:J536"/>
    </sortState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AR Delinquent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Sanders, Dan</cp:lastModifiedBy>
  <cp:revision>0</cp:revision>
  <dcterms:created xsi:type="dcterms:W3CDTF">2026-04-22T00:04:35Z</dcterms:created>
  <dcterms:modified xsi:type="dcterms:W3CDTF">2026-05-05T13:38:49Z</dcterms:modified>
  <dc:language>en-US</dc:language>
</cp:coreProperties>
</file>