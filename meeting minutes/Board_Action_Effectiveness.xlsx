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nvme\Downloads\"/>
    </mc:Choice>
  </mc:AlternateContent>
  <xr:revisionPtr revIDLastSave="0" documentId="8_{D0D9C11F-85ED-4149-80EA-46BF14C719A1}" xr6:coauthVersionLast="47" xr6:coauthVersionMax="47" xr10:uidLastSave="{00000000-0000-0000-0000-000000000000}"/>
  <bookViews>
    <workbookView xWindow="1520" yWindow="1520" windowWidth="7500" windowHeight="6000" tabRatio="500" firstSheet="1" activeTab="4" xr2:uid="{00000000-000D-0000-FFFF-FFFF00000000}"/>
  </bookViews>
  <sheets>
    <sheet name="Summary" sheetId="1" r:id="rId1"/>
    <sheet name="Worked" sheetId="2" r:id="rId2"/>
    <sheet name="Partial Improvement" sheetId="3" r:id="rId3"/>
    <sheet name="Pending" sheetId="4" r:id="rId4"/>
    <sheet name="Still Not Paying" sheetId="5" r:id="rId5"/>
    <sheet name="All Accounts" sheetId="6" r:id="rId6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C13" i="1"/>
  <c r="B13" i="1"/>
</calcChain>
</file>

<file path=xl/sharedStrings.xml><?xml version="1.0" encoding="utf-8"?>
<sst xmlns="http://schemas.openxmlformats.org/spreadsheetml/2006/main" count="1205" uniqueCount="123">
  <si>
    <t>Board Action Effectiveness Analysis</t>
  </si>
  <si>
    <t>Valley Ranch Master Association — Board actions vs Feb→March AR delinquency</t>
  </si>
  <si>
    <t>Outcome Summary</t>
  </si>
  <si>
    <t>Tier</t>
  </si>
  <si>
    <t># Accounts</t>
  </si>
  <si>
    <t>Feb Balance</t>
  </si>
  <si>
    <t>March Balance</t>
  </si>
  <si>
    <t>Change</t>
  </si>
  <si>
    <t>1a. WORKED - Already Paid Before Feb</t>
  </si>
  <si>
    <t>1b. WORKED - Paid Off Feb→March</t>
  </si>
  <si>
    <t>2. WORKED - Now on Payment Plan</t>
  </si>
  <si>
    <t>3. WORKED - Major Balance Reduction</t>
  </si>
  <si>
    <t>4. PARTIAL - Balance Decreased</t>
  </si>
  <si>
    <t>5. PENDING - Recent Board Action</t>
  </si>
  <si>
    <t>6. NOT PAYING - Action Not Effective</t>
  </si>
  <si>
    <t>TOTAL</t>
  </si>
  <si>
    <t>Headline Numbers</t>
  </si>
  <si>
    <t>Total accounts the board acted on</t>
  </si>
  <si>
    <t>Total board votes cast</t>
  </si>
  <si>
    <t>Accounts where action worked (Tiers 1-3)</t>
  </si>
  <si>
    <t>Accounts with partial improvement (Tier 4)</t>
  </si>
  <si>
    <t>Pending - recent action, too soon to judge (Tier 5)</t>
  </si>
  <si>
    <t>Accounts still not paying (Tier 6)</t>
  </si>
  <si>
    <t>March balance owed across all 70 accounts</t>
  </si>
  <si>
    <t>Feb balance across all 70 accounts</t>
  </si>
  <si>
    <t>WORKED — Board Action Was Effective</t>
  </si>
  <si>
    <t>18 accounts. Includes: paid off, now on payment plan, or major balance reduction (&gt;50%).</t>
  </si>
  <si>
    <t>Account</t>
  </si>
  <si>
    <t>First Action Date</t>
  </si>
  <si>
    <t>Last Action Date</t>
  </si>
  <si>
    <t>Action Count</t>
  </si>
  <si>
    <t>Last Category</t>
  </si>
  <si>
    <t>Last Action</t>
  </si>
  <si>
    <t>Feb Stage</t>
  </si>
  <si>
    <t>March Stage</t>
  </si>
  <si>
    <t>Balance Change</t>
  </si>
  <si>
    <t>Pct Change</t>
  </si>
  <si>
    <t>Action History</t>
  </si>
  <si>
    <t>02/06/2025</t>
  </si>
  <si>
    <t>Payment plan</t>
  </si>
  <si>
    <t>Homeowner payment plan approved</t>
  </si>
  <si>
    <t>Not on Feb AR</t>
  </si>
  <si>
    <t>OFF AR LIST</t>
  </si>
  <si>
    <t>02/06/25: [Payment plan] Homeowner payment plan approved</t>
  </si>
  <si>
    <t>Lawyer</t>
  </si>
  <si>
    <t>Foreclosure lawsuit approved</t>
  </si>
  <si>
    <t>02/06/25: [Lawyer] Foreclosure lawsuit approved</t>
  </si>
  <si>
    <t>Steptoe &amp; Johnson payment plan approved</t>
  </si>
  <si>
    <t>02/06/25: [Payment plan] Steptoe &amp; Johnson payment plan approved</t>
  </si>
  <si>
    <t>11/19/2025</t>
  </si>
  <si>
    <t>Tabled</t>
  </si>
  <si>
    <t>Foreclosure lawsuit reviewed, but tabled</t>
  </si>
  <si>
    <t>11/19/25: [Tabled] Foreclosure lawsuit reviewed, but tabled</t>
  </si>
  <si>
    <t>03/18/2025</t>
  </si>
  <si>
    <t>03/18/25: [Lawyer] Foreclosure lawsuit approved</t>
  </si>
  <si>
    <t>Initial Late Letter</t>
  </si>
  <si>
    <t>(No Stage Assigned)</t>
  </si>
  <si>
    <t>03/24/2026</t>
  </si>
  <si>
    <t>Owner payment plan approved</t>
  </si>
  <si>
    <t>03/24/26: [Payment plan] Owner payment plan approved</t>
  </si>
  <si>
    <t>Referred to attorney for deed restriction violations</t>
  </si>
  <si>
    <t>Attny</t>
  </si>
  <si>
    <t>11/19/25: [Lawyer] Referred to attorney for deed restriction violations</t>
  </si>
  <si>
    <t>07/22/2025</t>
  </si>
  <si>
    <t>Payment Plan</t>
  </si>
  <si>
    <t>07/22/25: [Payment plan] Owner payment plan approved</t>
  </si>
  <si>
    <t>Owner payment plan approved again</t>
  </si>
  <si>
    <t>02/06/25: [Payment plan] Homeowner payment plan approved | 03/24/26: [Payment plan] Owner payment plan approved again</t>
  </si>
  <si>
    <t>PARTIAL — Balance Decreased but Not Resolved</t>
  </si>
  <si>
    <t>6 accounts. Balance dropped 10-50% from Feb to March. Direction is right, but not done.</t>
  </si>
  <si>
    <t>06/03/2025</t>
  </si>
  <si>
    <t>Demand Lien Notice</t>
  </si>
  <si>
    <t>06/03/25: [Payment plan] Owner payment plan approved | 03/24/26: [Payment plan] Owner payment plan approved</t>
  </si>
  <si>
    <t>06/03/25: [Payment plan] Owner payment plan approved</t>
  </si>
  <si>
    <t>PENDING — Recent Board Action, Too Soon to Judge</t>
  </si>
  <si>
    <t>10 accounts. Last action within 60 days of March 24, 2026.</t>
  </si>
  <si>
    <t>Deed restriction lawsuit approved again</t>
  </si>
  <si>
    <t>06/03/25: [Lawyer] Deed restriction lawsuit / fines approved | 03/24/26: [Lawyer] Deed restriction lawsuit approved again</t>
  </si>
  <si>
    <t>04/08/2025</t>
  </si>
  <si>
    <t>Foreclosure approved again</t>
  </si>
  <si>
    <t>04/08/25: [Lawyer] Foreclosure approved | 11/19/25: [Payment plan] Attorney payment plan approved | 03/24/26: [Lawyer] Foreclosure approved again</t>
  </si>
  <si>
    <t>Attorney payment plan request</t>
  </si>
  <si>
    <t>03/18/25: [Payment plan] Steptoe &amp; Johnson payment plan approved | 03/24/26: [Payment plan] Attorney payment plan request</t>
  </si>
  <si>
    <t>03/24/26: [Lawyer] Foreclosure lawsuit approved</t>
  </si>
  <si>
    <t>Foreclosure approved</t>
  </si>
  <si>
    <t>03/18/25: [Payment plan] Attorney payment plan accepted | 03/24/26: [Lawyer] Foreclosure approved</t>
  </si>
  <si>
    <t>Attorney proceedings for proof of bankruptcy approved</t>
  </si>
  <si>
    <t>Pre-Bankruptcy Bankruptcy</t>
  </si>
  <si>
    <t>11/19/25: [Lawyer] Foreclosure approved | 03/24/26: [Lawyer] Attorney proceedings for proof of bankruptcy approved</t>
  </si>
  <si>
    <t>Pending Board</t>
  </si>
  <si>
    <t>03/18/25: [Payment plan] Owner payment plan approved | 09/17/25: [Payment plan] Owner payment plan approved | 03/24/26: [Payment plan] Owner payment plan approved</t>
  </si>
  <si>
    <t>Attorney referral approved</t>
  </si>
  <si>
    <t>06/03/25: [Payment plan] Owner payment plan approved | 03/24/26: [Lawyer] Attorney referral approved</t>
  </si>
  <si>
    <t>NOT PAYING — Board Action Not Working</t>
  </si>
  <si>
    <t>36 accounts. Older board action, balance flat or growing. Candidates for escalation.</t>
  </si>
  <si>
    <t>04/08/25: [Lawyer] Foreclosure approved</t>
  </si>
  <si>
    <t>07/22/25: [Lawyer] Foreclosure approved</t>
  </si>
  <si>
    <t>Foreclosure efforts approved with specifications</t>
  </si>
  <si>
    <t>02/06/25: [Lawyer] Foreclosure efforts approved with specifications</t>
  </si>
  <si>
    <t>02/06/25: [Lawyer] Foreclosure efforts approved | 03/18/25: [Payment plan] Attorney payment plan accepted | 07/22/25: [Lawyer] Foreclosure approved again</t>
  </si>
  <si>
    <t>Demand notices and fines approved</t>
  </si>
  <si>
    <t>06/03/25: [Lawyer] Demand notices and fines approved</t>
  </si>
  <si>
    <t>Referred to Steptoe &amp; Johnson for deed restriction enforcement</t>
  </si>
  <si>
    <t>11/19/25: [Lawyer] Referred to Steptoe &amp; Johnson for deed restriction enforcement</t>
  </si>
  <si>
    <t>Attorney payment plan approved</t>
  </si>
  <si>
    <t>02/06/25: [Payment plan] Attorney payment plan approved</t>
  </si>
  <si>
    <t>Fines and referral to Steptoe &amp; Johnson for deed enforcement violations</t>
  </si>
  <si>
    <t>11/19/25: [Lawyer] Fines and referral to Steptoe &amp; Johnson for deed enforcement violations</t>
  </si>
  <si>
    <t>09/17/2025</t>
  </si>
  <si>
    <t>06/03/25: [Lawyer] Foreclosure lawsuit approved | 07/22/25: [Lawyer] Foreclosure lawsuit approved | 09/17/25: [Lawyer] Foreclosure lawsuit approved</t>
  </si>
  <si>
    <t>06/03/25: [Lawyer] Foreclosure approved</t>
  </si>
  <si>
    <t>Proof of claim approved</t>
  </si>
  <si>
    <t>Pre-Bankruptcy Attny</t>
  </si>
  <si>
    <t>02/06/25: [Lawyer] Foreclosure approved | 06/03/25: [Lawyer] Proof of claim approved</t>
  </si>
  <si>
    <t>03/18/25: [Lawyer] Foreclosure lawsuit approved | 06/03/25: [Payment plan] Steptoe &amp; Johnson payment plan approved</t>
  </si>
  <si>
    <t>02/06/25: [Lawyer] Foreclosure lawsuit approved | 06/03/25: [Payment plan] Steptoe &amp; Johnson payment plan approved</t>
  </si>
  <si>
    <t>Steptoe &amp; Johnson payment plan and fee waiver approved</t>
  </si>
  <si>
    <t>06/03/25: [Payment plan] Steptoe &amp; Johnson payment plan and fee waiver approved</t>
  </si>
  <si>
    <t>04/08/25: [Lawyer] Foreclosure lawsuit approved</t>
  </si>
  <si>
    <t>06/03/25: [Lawyer] Foreclosure lawsuit approved</t>
  </si>
  <si>
    <t>03/18/25: [Payment plan] Owner payment plan approved</t>
  </si>
  <si>
    <t>ALL 70 BOARD-ACTION ACCOUNTS</t>
  </si>
  <si>
    <t>Complete list with tier classification, sortable.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</si>
</sst>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\$#,##0.00;&quot;($&quot;#,##0.00\);\-"/>
    <numFmt numFmtId="166" formatCode="0.0\%;\(0.0&quot;%)&quot;;\-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164" fontId="0" fillId="0" borderId="0" xfId="0" applyNumberFormat="1"/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165" fontId="0" fillId="0" borderId="8" xfId="0" applyNumberFormat="1" applyBorder="1" applyAlignment="1">
      <alignment vertical="top" wrapText="1"/>
    </xf>
    <xf numFmtId="166" fontId="0" fillId="0" borderId="8" xfId="0" applyNumberForma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9"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numFmt numFmtId="166" formatCode="0.0\%;\(0.0&quot;%)&quot;;\-"/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5" formatCode="\$#,##0.00;&quot;($&quot;#,##0.00\);\-"/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5" formatCode="\$#,##0.00;&quot;($&quot;#,##0.00\);\-"/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5" formatCode="\$#,##0.00;&quot;($&quot;#,##0.00\);\-"/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0B6D5F-1C63-4275-BB0C-38D47A12C705}" name="Table2" displayName="Table2" ref="A4:N40" totalsRowShown="0" headerRowDxfId="18" dataDxfId="16" headerRowBorderDxfId="17" tableBorderDxfId="15" totalsRowBorderDxfId="14">
  <autoFilter ref="A4:N40" xr:uid="{7E0B6D5F-1C63-4275-BB0C-38D47A12C705}"/>
  <tableColumns count="14">
    <tableColumn id="1" xr3:uid="{4FCB03F9-1808-4D0E-B723-B9397E7AE33E}" name="Account" dataDxfId="13"/>
    <tableColumn id="2" xr3:uid="{87C2A4E5-26AA-4F41-B6AA-D21412DD12EA}" name="Tier" dataDxfId="12"/>
    <tableColumn id="3" xr3:uid="{B9349B91-1BBD-4C53-BC6B-51A156648EB4}" name="First Action Date" dataDxfId="11"/>
    <tableColumn id="4" xr3:uid="{B23886B6-82CB-41EB-9722-C5C8C8037E39}" name="Last Action Date" dataDxfId="10"/>
    <tableColumn id="5" xr3:uid="{832D8FF6-D634-4BDF-A0E1-C115A97FA6AE}" name="Action Count" dataDxfId="9"/>
    <tableColumn id="6" xr3:uid="{B778C8FD-F884-45EC-BC5B-C2AFE7833B8A}" name="Last Category" dataDxfId="8"/>
    <tableColumn id="7" xr3:uid="{C9506715-E622-464B-A6EE-716F10FF66B2}" name="Last Action" dataDxfId="7"/>
    <tableColumn id="8" xr3:uid="{B3D12FDA-E55E-47F6-86D1-AF237B85B8BB}" name="Feb Stage" dataDxfId="6"/>
    <tableColumn id="9" xr3:uid="{A39006B7-4A61-4A92-B34C-F3AD3779EA59}" name="Feb Balance" dataDxfId="5"/>
    <tableColumn id="10" xr3:uid="{3D8209C2-3ECE-48BC-89C7-7D309F33F83A}" name="March Stage" dataDxfId="4"/>
    <tableColumn id="11" xr3:uid="{624EBE0A-9FE2-48A9-8F95-768E5048FC85}" name="March Balance" dataDxfId="3"/>
    <tableColumn id="12" xr3:uid="{AC595817-5929-4747-B9BD-FEA340BD315A}" name="Balance Change" dataDxfId="2"/>
    <tableColumn id="13" xr3:uid="{41749785-D738-4040-966D-FE6090F04C45}" name="Pct Change" dataDxfId="1"/>
    <tableColumn id="14" xr3:uid="{71AB15EA-FBBF-4A8E-AC8C-11439BB95B8F}" name="Action Hist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opLeftCell="A6" zoomScaleNormal="100" workbookViewId="0">
      <selection sqref="A1:E1"/>
    </sheetView>
  </sheetViews>
  <sheetFormatPr defaultColWidth="8.6328125" defaultRowHeight="14.5" x14ac:dyDescent="0.35"/>
  <cols>
    <col min="1" max="1" width="50" customWidth="1"/>
    <col min="2" max="2" width="15" customWidth="1"/>
    <col min="3" max="5" width="16" customWidth="1"/>
  </cols>
  <sheetData>
    <row r="1" spans="1:5" ht="21.75" customHeight="1" x14ac:dyDescent="0.4">
      <c r="A1" s="21" t="s">
        <v>0</v>
      </c>
      <c r="B1" s="21"/>
      <c r="C1" s="21"/>
      <c r="D1" s="21"/>
      <c r="E1" s="21"/>
    </row>
    <row r="2" spans="1:5" x14ac:dyDescent="0.35">
      <c r="A2" s="22" t="s">
        <v>1</v>
      </c>
      <c r="B2" s="22"/>
      <c r="C2" s="22"/>
      <c r="D2" s="22"/>
      <c r="E2" s="22"/>
    </row>
    <row r="4" spans="1:5" ht="15.5" x14ac:dyDescent="0.35">
      <c r="A4" s="1" t="s">
        <v>2</v>
      </c>
    </row>
    <row r="5" spans="1:5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x14ac:dyDescent="0.35">
      <c r="A6" s="3" t="s">
        <v>8</v>
      </c>
      <c r="B6" s="3">
        <v>11</v>
      </c>
      <c r="C6" s="4">
        <v>0</v>
      </c>
      <c r="D6" s="4">
        <v>0</v>
      </c>
      <c r="E6" s="4">
        <v>0</v>
      </c>
    </row>
    <row r="7" spans="1:5" x14ac:dyDescent="0.35">
      <c r="A7" s="3" t="s">
        <v>9</v>
      </c>
      <c r="B7" s="3">
        <v>4</v>
      </c>
      <c r="C7" s="4">
        <v>7397.13</v>
      </c>
      <c r="D7" s="4">
        <v>0</v>
      </c>
      <c r="E7" s="4">
        <v>-7397.13</v>
      </c>
    </row>
    <row r="8" spans="1:5" x14ac:dyDescent="0.35">
      <c r="A8" s="3" t="s">
        <v>10</v>
      </c>
      <c r="B8" s="3">
        <v>2</v>
      </c>
      <c r="C8" s="4">
        <v>1366.53</v>
      </c>
      <c r="D8" s="4">
        <v>1283.6099999999999</v>
      </c>
      <c r="E8" s="4">
        <v>-82.919999999999902</v>
      </c>
    </row>
    <row r="9" spans="1:5" x14ac:dyDescent="0.35">
      <c r="A9" s="3" t="s">
        <v>11</v>
      </c>
      <c r="B9" s="3">
        <v>1</v>
      </c>
      <c r="C9" s="4">
        <v>13809.78</v>
      </c>
      <c r="D9" s="4">
        <v>6313.32</v>
      </c>
      <c r="E9" s="4">
        <v>-7496.46</v>
      </c>
    </row>
    <row r="10" spans="1:5" x14ac:dyDescent="0.35">
      <c r="A10" s="3" t="s">
        <v>12</v>
      </c>
      <c r="B10" s="3">
        <v>6</v>
      </c>
      <c r="C10" s="4">
        <v>12581.65</v>
      </c>
      <c r="D10" s="4">
        <v>10838.72</v>
      </c>
      <c r="E10" s="4">
        <v>-1742.93</v>
      </c>
    </row>
    <row r="11" spans="1:5" x14ac:dyDescent="0.35">
      <c r="A11" s="3" t="s">
        <v>13</v>
      </c>
      <c r="B11" s="3">
        <v>10</v>
      </c>
      <c r="C11" s="4">
        <v>71592.2</v>
      </c>
      <c r="D11" s="4">
        <v>76669.259999999995</v>
      </c>
      <c r="E11" s="4">
        <v>5077.0600000000004</v>
      </c>
    </row>
    <row r="12" spans="1:5" x14ac:dyDescent="0.35">
      <c r="A12" s="3" t="s">
        <v>14</v>
      </c>
      <c r="B12" s="3">
        <v>36</v>
      </c>
      <c r="C12" s="4">
        <v>233186.59</v>
      </c>
      <c r="D12" s="4">
        <v>269139.7</v>
      </c>
      <c r="E12" s="4">
        <v>35953.11</v>
      </c>
    </row>
    <row r="13" spans="1:5" x14ac:dyDescent="0.35">
      <c r="A13" s="5" t="s">
        <v>15</v>
      </c>
      <c r="B13" s="5">
        <f>SUM(B6:B12)</f>
        <v>70</v>
      </c>
      <c r="C13" s="6">
        <f>SUM(C6:C12)</f>
        <v>339933.88</v>
      </c>
      <c r="D13" s="6">
        <f>SUM(D6:D12)</f>
        <v>364244.61</v>
      </c>
      <c r="E13" s="6">
        <f>SUM(E6:E12)</f>
        <v>24310.730000000003</v>
      </c>
    </row>
    <row r="16" spans="1:5" ht="15.5" x14ac:dyDescent="0.35">
      <c r="A16" s="1" t="s">
        <v>16</v>
      </c>
    </row>
    <row r="17" spans="1:2" x14ac:dyDescent="0.35">
      <c r="A17" t="s">
        <v>17</v>
      </c>
      <c r="B17">
        <v>70</v>
      </c>
    </row>
    <row r="18" spans="1:2" x14ac:dyDescent="0.35">
      <c r="A18" t="s">
        <v>18</v>
      </c>
      <c r="B18">
        <v>89</v>
      </c>
    </row>
    <row r="19" spans="1:2" x14ac:dyDescent="0.35">
      <c r="A19" t="s">
        <v>19</v>
      </c>
      <c r="B19">
        <v>18</v>
      </c>
    </row>
    <row r="20" spans="1:2" x14ac:dyDescent="0.35">
      <c r="A20" t="s">
        <v>20</v>
      </c>
      <c r="B20">
        <v>6</v>
      </c>
    </row>
    <row r="21" spans="1:2" x14ac:dyDescent="0.35">
      <c r="A21" t="s">
        <v>21</v>
      </c>
      <c r="B21">
        <v>10</v>
      </c>
    </row>
    <row r="22" spans="1:2" x14ac:dyDescent="0.35">
      <c r="A22" t="s">
        <v>22</v>
      </c>
      <c r="B22">
        <v>36</v>
      </c>
    </row>
    <row r="23" spans="1:2" x14ac:dyDescent="0.35">
      <c r="A23" t="s">
        <v>23</v>
      </c>
      <c r="B23" s="7">
        <v>364244.61</v>
      </c>
    </row>
    <row r="24" spans="1:2" x14ac:dyDescent="0.35">
      <c r="A24" t="s">
        <v>24</v>
      </c>
      <c r="B24" s="7">
        <v>339933.88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10" customWidth="1"/>
    <col min="2" max="2" width="40" customWidth="1"/>
    <col min="3" max="4" width="14" customWidth="1"/>
    <col min="5" max="5" width="10" customWidth="1"/>
    <col min="6" max="6" width="14" customWidth="1"/>
    <col min="7" max="7" width="45" customWidth="1"/>
    <col min="8" max="8" width="22" customWidth="1"/>
    <col min="9" max="9" width="14" customWidth="1"/>
    <col min="10" max="10" width="22" customWidth="1"/>
    <col min="11" max="12" width="14" customWidth="1"/>
    <col min="13" max="13" width="10" customWidth="1"/>
    <col min="14" max="14" width="80" customWidth="1"/>
  </cols>
  <sheetData>
    <row r="1" spans="1:14" ht="21.75" customHeight="1" x14ac:dyDescent="0.4">
      <c r="A1" s="21" t="s">
        <v>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5">
      <c r="A2" s="22" t="s">
        <v>26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spans="1:14" ht="28" x14ac:dyDescent="0.35">
      <c r="A4" s="2" t="s">
        <v>27</v>
      </c>
      <c r="B4" s="2" t="s">
        <v>3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5</v>
      </c>
      <c r="J4" s="2" t="s">
        <v>34</v>
      </c>
      <c r="K4" s="2" t="s">
        <v>6</v>
      </c>
      <c r="L4" s="2" t="s">
        <v>35</v>
      </c>
      <c r="M4" s="2" t="s">
        <v>36</v>
      </c>
      <c r="N4" s="2" t="s">
        <v>37</v>
      </c>
    </row>
    <row r="5" spans="1:14" x14ac:dyDescent="0.35">
      <c r="A5" s="8">
        <v>475415</v>
      </c>
      <c r="B5" s="8" t="s">
        <v>8</v>
      </c>
      <c r="C5" s="8" t="s">
        <v>38</v>
      </c>
      <c r="D5" s="8" t="s">
        <v>38</v>
      </c>
      <c r="E5" s="8">
        <v>1</v>
      </c>
      <c r="F5" s="8" t="s">
        <v>39</v>
      </c>
      <c r="G5" s="8" t="s">
        <v>40</v>
      </c>
      <c r="H5" s="8" t="s">
        <v>41</v>
      </c>
      <c r="I5" s="9">
        <v>0</v>
      </c>
      <c r="J5" s="8" t="s">
        <v>42</v>
      </c>
      <c r="K5" s="9">
        <v>0</v>
      </c>
      <c r="L5" s="9"/>
      <c r="M5" s="10"/>
      <c r="N5" s="8" t="s">
        <v>43</v>
      </c>
    </row>
    <row r="6" spans="1:14" x14ac:dyDescent="0.35">
      <c r="A6" s="8">
        <v>475658</v>
      </c>
      <c r="B6" s="8" t="s">
        <v>8</v>
      </c>
      <c r="C6" s="8" t="s">
        <v>38</v>
      </c>
      <c r="D6" s="8" t="s">
        <v>38</v>
      </c>
      <c r="E6" s="8">
        <v>1</v>
      </c>
      <c r="F6" s="8" t="s">
        <v>44</v>
      </c>
      <c r="G6" s="8" t="s">
        <v>45</v>
      </c>
      <c r="H6" s="8" t="s">
        <v>41</v>
      </c>
      <c r="I6" s="9">
        <v>0</v>
      </c>
      <c r="J6" s="8" t="s">
        <v>42</v>
      </c>
      <c r="K6" s="9">
        <v>0</v>
      </c>
      <c r="L6" s="9"/>
      <c r="M6" s="10"/>
      <c r="N6" s="8" t="s">
        <v>46</v>
      </c>
    </row>
    <row r="7" spans="1:14" x14ac:dyDescent="0.35">
      <c r="A7" s="8">
        <v>476156</v>
      </c>
      <c r="B7" s="8" t="s">
        <v>8</v>
      </c>
      <c r="C7" s="8" t="s">
        <v>38</v>
      </c>
      <c r="D7" s="8" t="s">
        <v>38</v>
      </c>
      <c r="E7" s="8">
        <v>1</v>
      </c>
      <c r="F7" s="8" t="s">
        <v>39</v>
      </c>
      <c r="G7" s="8" t="s">
        <v>47</v>
      </c>
      <c r="H7" s="8" t="s">
        <v>41</v>
      </c>
      <c r="I7" s="9">
        <v>0</v>
      </c>
      <c r="J7" s="8" t="s">
        <v>42</v>
      </c>
      <c r="K7" s="9">
        <v>0</v>
      </c>
      <c r="L7" s="9"/>
      <c r="M7" s="10"/>
      <c r="N7" s="8" t="s">
        <v>48</v>
      </c>
    </row>
    <row r="8" spans="1:14" x14ac:dyDescent="0.35">
      <c r="A8" s="8">
        <v>477547</v>
      </c>
      <c r="B8" s="8" t="s">
        <v>8</v>
      </c>
      <c r="C8" s="8" t="s">
        <v>49</v>
      </c>
      <c r="D8" s="8" t="s">
        <v>49</v>
      </c>
      <c r="E8" s="8">
        <v>1</v>
      </c>
      <c r="F8" s="8" t="s">
        <v>50</v>
      </c>
      <c r="G8" s="8" t="s">
        <v>51</v>
      </c>
      <c r="H8" s="8" t="s">
        <v>41</v>
      </c>
      <c r="I8" s="9">
        <v>0</v>
      </c>
      <c r="J8" s="8" t="s">
        <v>42</v>
      </c>
      <c r="K8" s="9">
        <v>0</v>
      </c>
      <c r="L8" s="9"/>
      <c r="M8" s="10"/>
      <c r="N8" s="8" t="s">
        <v>52</v>
      </c>
    </row>
    <row r="9" spans="1:14" x14ac:dyDescent="0.35">
      <c r="A9" s="8">
        <v>477655</v>
      </c>
      <c r="B9" s="8" t="s">
        <v>8</v>
      </c>
      <c r="C9" s="8" t="s">
        <v>38</v>
      </c>
      <c r="D9" s="8" t="s">
        <v>38</v>
      </c>
      <c r="E9" s="8">
        <v>1</v>
      </c>
      <c r="F9" s="8" t="s">
        <v>44</v>
      </c>
      <c r="G9" s="8" t="s">
        <v>45</v>
      </c>
      <c r="H9" s="8" t="s">
        <v>41</v>
      </c>
      <c r="I9" s="9">
        <v>0</v>
      </c>
      <c r="J9" s="8" t="s">
        <v>42</v>
      </c>
      <c r="K9" s="9">
        <v>0</v>
      </c>
      <c r="L9" s="9"/>
      <c r="M9" s="10"/>
      <c r="N9" s="8" t="s">
        <v>46</v>
      </c>
    </row>
    <row r="10" spans="1:14" x14ac:dyDescent="0.35">
      <c r="A10" s="8">
        <v>477851</v>
      </c>
      <c r="B10" s="8" t="s">
        <v>8</v>
      </c>
      <c r="C10" s="8" t="s">
        <v>38</v>
      </c>
      <c r="D10" s="8" t="s">
        <v>38</v>
      </c>
      <c r="E10" s="8">
        <v>1</v>
      </c>
      <c r="F10" s="8" t="s">
        <v>39</v>
      </c>
      <c r="G10" s="8" t="s">
        <v>40</v>
      </c>
      <c r="H10" s="8" t="s">
        <v>41</v>
      </c>
      <c r="I10" s="9">
        <v>0</v>
      </c>
      <c r="J10" s="8" t="s">
        <v>42</v>
      </c>
      <c r="K10" s="9">
        <v>0</v>
      </c>
      <c r="L10" s="9"/>
      <c r="M10" s="10"/>
      <c r="N10" s="8" t="s">
        <v>43</v>
      </c>
    </row>
    <row r="11" spans="1:14" x14ac:dyDescent="0.35">
      <c r="A11" s="8">
        <v>477991</v>
      </c>
      <c r="B11" s="8" t="s">
        <v>8</v>
      </c>
      <c r="C11" s="8" t="s">
        <v>38</v>
      </c>
      <c r="D11" s="8" t="s">
        <v>38</v>
      </c>
      <c r="E11" s="8">
        <v>1</v>
      </c>
      <c r="F11" s="8" t="s">
        <v>44</v>
      </c>
      <c r="G11" s="8" t="s">
        <v>45</v>
      </c>
      <c r="H11" s="8" t="s">
        <v>41</v>
      </c>
      <c r="I11" s="9">
        <v>0</v>
      </c>
      <c r="J11" s="8" t="s">
        <v>42</v>
      </c>
      <c r="K11" s="9">
        <v>0</v>
      </c>
      <c r="L11" s="9"/>
      <c r="M11" s="10"/>
      <c r="N11" s="8" t="s">
        <v>46</v>
      </c>
    </row>
    <row r="12" spans="1:14" x14ac:dyDescent="0.35">
      <c r="A12" s="8">
        <v>478799</v>
      </c>
      <c r="B12" s="8" t="s">
        <v>8</v>
      </c>
      <c r="C12" s="8" t="s">
        <v>53</v>
      </c>
      <c r="D12" s="8" t="s">
        <v>53</v>
      </c>
      <c r="E12" s="8">
        <v>1</v>
      </c>
      <c r="F12" s="8" t="s">
        <v>44</v>
      </c>
      <c r="G12" s="8" t="s">
        <v>45</v>
      </c>
      <c r="H12" s="8" t="s">
        <v>41</v>
      </c>
      <c r="I12" s="9">
        <v>0</v>
      </c>
      <c r="J12" s="8" t="s">
        <v>42</v>
      </c>
      <c r="K12" s="9">
        <v>0</v>
      </c>
      <c r="L12" s="9"/>
      <c r="M12" s="10"/>
      <c r="N12" s="8" t="s">
        <v>54</v>
      </c>
    </row>
    <row r="13" spans="1:14" x14ac:dyDescent="0.35">
      <c r="A13" s="8">
        <v>604150</v>
      </c>
      <c r="B13" s="8" t="s">
        <v>8</v>
      </c>
      <c r="C13" s="8" t="s">
        <v>38</v>
      </c>
      <c r="D13" s="8" t="s">
        <v>38</v>
      </c>
      <c r="E13" s="8">
        <v>1</v>
      </c>
      <c r="F13" s="8" t="s">
        <v>44</v>
      </c>
      <c r="G13" s="8" t="s">
        <v>45</v>
      </c>
      <c r="H13" s="8" t="s">
        <v>41</v>
      </c>
      <c r="I13" s="9">
        <v>0</v>
      </c>
      <c r="J13" s="8" t="s">
        <v>42</v>
      </c>
      <c r="K13" s="9">
        <v>0</v>
      </c>
      <c r="L13" s="9"/>
      <c r="M13" s="10"/>
      <c r="N13" s="8" t="s">
        <v>46</v>
      </c>
    </row>
    <row r="14" spans="1:14" x14ac:dyDescent="0.35">
      <c r="A14" s="8">
        <v>679229</v>
      </c>
      <c r="B14" s="8" t="s">
        <v>8</v>
      </c>
      <c r="C14" s="8" t="s">
        <v>38</v>
      </c>
      <c r="D14" s="8" t="s">
        <v>38</v>
      </c>
      <c r="E14" s="8">
        <v>1</v>
      </c>
      <c r="F14" s="8" t="s">
        <v>39</v>
      </c>
      <c r="G14" s="8" t="s">
        <v>47</v>
      </c>
      <c r="H14" s="8" t="s">
        <v>41</v>
      </c>
      <c r="I14" s="9">
        <v>0</v>
      </c>
      <c r="J14" s="8" t="s">
        <v>42</v>
      </c>
      <c r="K14" s="9">
        <v>0</v>
      </c>
      <c r="L14" s="9"/>
      <c r="M14" s="10"/>
      <c r="N14" s="8" t="s">
        <v>48</v>
      </c>
    </row>
    <row r="15" spans="1:14" x14ac:dyDescent="0.35">
      <c r="A15" s="8">
        <v>696341</v>
      </c>
      <c r="B15" s="8" t="s">
        <v>8</v>
      </c>
      <c r="C15" s="8" t="s">
        <v>38</v>
      </c>
      <c r="D15" s="8" t="s">
        <v>38</v>
      </c>
      <c r="E15" s="8">
        <v>1</v>
      </c>
      <c r="F15" s="8" t="s">
        <v>39</v>
      </c>
      <c r="G15" s="8" t="s">
        <v>47</v>
      </c>
      <c r="H15" s="8" t="s">
        <v>41</v>
      </c>
      <c r="I15" s="9">
        <v>0</v>
      </c>
      <c r="J15" s="8" t="s">
        <v>42</v>
      </c>
      <c r="K15" s="9">
        <v>0</v>
      </c>
      <c r="L15" s="9"/>
      <c r="M15" s="10"/>
      <c r="N15" s="8" t="s">
        <v>48</v>
      </c>
    </row>
    <row r="16" spans="1:14" x14ac:dyDescent="0.35">
      <c r="A16" s="8">
        <v>476299</v>
      </c>
      <c r="B16" s="8" t="s">
        <v>9</v>
      </c>
      <c r="C16" s="8" t="s">
        <v>38</v>
      </c>
      <c r="D16" s="8" t="s">
        <v>38</v>
      </c>
      <c r="E16" s="8">
        <v>1</v>
      </c>
      <c r="F16" s="8" t="s">
        <v>44</v>
      </c>
      <c r="G16" s="8" t="s">
        <v>45</v>
      </c>
      <c r="H16" s="8" t="s">
        <v>55</v>
      </c>
      <c r="I16" s="9">
        <v>643.08000000000004</v>
      </c>
      <c r="J16" s="8" t="s">
        <v>42</v>
      </c>
      <c r="K16" s="9">
        <v>0</v>
      </c>
      <c r="L16" s="9">
        <v>-643.08000000000004</v>
      </c>
      <c r="M16" s="10">
        <v>-100</v>
      </c>
      <c r="N16" s="8" t="s">
        <v>46</v>
      </c>
    </row>
    <row r="17" spans="1:14" x14ac:dyDescent="0.35">
      <c r="A17" s="8">
        <v>477476</v>
      </c>
      <c r="B17" s="8" t="s">
        <v>9</v>
      </c>
      <c r="C17" s="8" t="s">
        <v>38</v>
      </c>
      <c r="D17" s="8" t="s">
        <v>38</v>
      </c>
      <c r="E17" s="8">
        <v>1</v>
      </c>
      <c r="F17" s="8" t="s">
        <v>44</v>
      </c>
      <c r="G17" s="8" t="s">
        <v>45</v>
      </c>
      <c r="H17" s="8" t="s">
        <v>56</v>
      </c>
      <c r="I17" s="9">
        <v>2422.2199999999998</v>
      </c>
      <c r="J17" s="8" t="s">
        <v>42</v>
      </c>
      <c r="K17" s="9">
        <v>0</v>
      </c>
      <c r="L17" s="9">
        <v>-2422.2199999999998</v>
      </c>
      <c r="M17" s="10">
        <v>-100</v>
      </c>
      <c r="N17" s="8" t="s">
        <v>46</v>
      </c>
    </row>
    <row r="18" spans="1:14" x14ac:dyDescent="0.35">
      <c r="A18" s="8">
        <v>572854</v>
      </c>
      <c r="B18" s="8" t="s">
        <v>9</v>
      </c>
      <c r="C18" s="8" t="s">
        <v>57</v>
      </c>
      <c r="D18" s="8" t="s">
        <v>57</v>
      </c>
      <c r="E18" s="8">
        <v>1</v>
      </c>
      <c r="F18" s="8" t="s">
        <v>39</v>
      </c>
      <c r="G18" s="8" t="s">
        <v>58</v>
      </c>
      <c r="H18" s="8" t="s">
        <v>55</v>
      </c>
      <c r="I18" s="9">
        <v>737.85</v>
      </c>
      <c r="J18" s="8" t="s">
        <v>42</v>
      </c>
      <c r="K18" s="9">
        <v>0</v>
      </c>
      <c r="L18" s="9">
        <v>-737.85</v>
      </c>
      <c r="M18" s="10">
        <v>-100</v>
      </c>
      <c r="N18" s="8" t="s">
        <v>59</v>
      </c>
    </row>
    <row r="19" spans="1:14" x14ac:dyDescent="0.35">
      <c r="A19" s="8">
        <v>697754</v>
      </c>
      <c r="B19" s="8" t="s">
        <v>9</v>
      </c>
      <c r="C19" s="8" t="s">
        <v>49</v>
      </c>
      <c r="D19" s="8" t="s">
        <v>49</v>
      </c>
      <c r="E19" s="8">
        <v>1</v>
      </c>
      <c r="F19" s="8" t="s">
        <v>44</v>
      </c>
      <c r="G19" s="8" t="s">
        <v>60</v>
      </c>
      <c r="H19" s="8" t="s">
        <v>61</v>
      </c>
      <c r="I19" s="9">
        <v>3593.98</v>
      </c>
      <c r="J19" s="8" t="s">
        <v>42</v>
      </c>
      <c r="K19" s="9">
        <v>0</v>
      </c>
      <c r="L19" s="9">
        <v>-3593.98</v>
      </c>
      <c r="M19" s="10">
        <v>-100</v>
      </c>
      <c r="N19" s="8" t="s">
        <v>62</v>
      </c>
    </row>
    <row r="20" spans="1:14" x14ac:dyDescent="0.35">
      <c r="A20" s="8">
        <v>660117</v>
      </c>
      <c r="B20" s="8" t="s">
        <v>10</v>
      </c>
      <c r="C20" s="8" t="s">
        <v>63</v>
      </c>
      <c r="D20" s="8" t="s">
        <v>63</v>
      </c>
      <c r="E20" s="8">
        <v>1</v>
      </c>
      <c r="F20" s="8" t="s">
        <v>39</v>
      </c>
      <c r="G20" s="8" t="s">
        <v>58</v>
      </c>
      <c r="H20" s="8" t="s">
        <v>55</v>
      </c>
      <c r="I20" s="9">
        <v>882</v>
      </c>
      <c r="J20" s="8" t="s">
        <v>64</v>
      </c>
      <c r="K20" s="9">
        <v>743.02</v>
      </c>
      <c r="L20" s="9">
        <v>-138.97999999999999</v>
      </c>
      <c r="M20" s="10">
        <v>-15.7573696145125</v>
      </c>
      <c r="N20" s="8" t="s">
        <v>65</v>
      </c>
    </row>
    <row r="21" spans="1:14" ht="29" x14ac:dyDescent="0.35">
      <c r="A21" s="8">
        <v>477124</v>
      </c>
      <c r="B21" s="8" t="s">
        <v>10</v>
      </c>
      <c r="C21" s="8" t="s">
        <v>38</v>
      </c>
      <c r="D21" s="8" t="s">
        <v>57</v>
      </c>
      <c r="E21" s="8">
        <v>2</v>
      </c>
      <c r="F21" s="8" t="s">
        <v>39</v>
      </c>
      <c r="G21" s="8" t="s">
        <v>66</v>
      </c>
      <c r="H21" s="8" t="s">
        <v>55</v>
      </c>
      <c r="I21" s="9">
        <v>484.53</v>
      </c>
      <c r="J21" s="8" t="s">
        <v>64</v>
      </c>
      <c r="K21" s="9">
        <v>540.59</v>
      </c>
      <c r="L21" s="9">
        <v>56.060000000000102</v>
      </c>
      <c r="M21" s="10">
        <v>11.5699750273461</v>
      </c>
      <c r="N21" s="8" t="s">
        <v>67</v>
      </c>
    </row>
    <row r="22" spans="1:14" x14ac:dyDescent="0.35">
      <c r="A22" s="8">
        <v>478933</v>
      </c>
      <c r="B22" s="8" t="s">
        <v>11</v>
      </c>
      <c r="C22" s="8" t="s">
        <v>53</v>
      </c>
      <c r="D22" s="8" t="s">
        <v>53</v>
      </c>
      <c r="E22" s="8">
        <v>1</v>
      </c>
      <c r="F22" s="8" t="s">
        <v>44</v>
      </c>
      <c r="G22" s="8" t="s">
        <v>45</v>
      </c>
      <c r="H22" s="8" t="s">
        <v>56</v>
      </c>
      <c r="I22" s="9">
        <v>13809.78</v>
      </c>
      <c r="J22" s="8"/>
      <c r="K22" s="9">
        <v>6313.32</v>
      </c>
      <c r="L22" s="9">
        <v>-7496.46</v>
      </c>
      <c r="M22" s="10">
        <v>-54.283703288539002</v>
      </c>
      <c r="N22" s="8" t="s">
        <v>54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10" customWidth="1"/>
    <col min="2" max="2" width="40" customWidth="1"/>
    <col min="3" max="4" width="14" customWidth="1"/>
    <col min="5" max="5" width="10" customWidth="1"/>
    <col min="6" max="6" width="14" customWidth="1"/>
    <col min="7" max="7" width="45" customWidth="1"/>
    <col min="8" max="8" width="22" customWidth="1"/>
    <col min="9" max="9" width="14" customWidth="1"/>
    <col min="10" max="10" width="22" customWidth="1"/>
    <col min="11" max="12" width="14" customWidth="1"/>
    <col min="13" max="13" width="10" customWidth="1"/>
    <col min="14" max="14" width="80" customWidth="1"/>
  </cols>
  <sheetData>
    <row r="1" spans="1:14" ht="21.75" customHeight="1" x14ac:dyDescent="0.4">
      <c r="A1" s="21" t="s">
        <v>68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5">
      <c r="A2" s="22" t="s">
        <v>69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spans="1:14" ht="28" x14ac:dyDescent="0.35">
      <c r="A4" s="2" t="s">
        <v>27</v>
      </c>
      <c r="B4" s="2" t="s">
        <v>3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5</v>
      </c>
      <c r="J4" s="2" t="s">
        <v>34</v>
      </c>
      <c r="K4" s="2" t="s">
        <v>6</v>
      </c>
      <c r="L4" s="2" t="s">
        <v>35</v>
      </c>
      <c r="M4" s="2" t="s">
        <v>36</v>
      </c>
      <c r="N4" s="2" t="s">
        <v>37</v>
      </c>
    </row>
    <row r="5" spans="1:14" x14ac:dyDescent="0.35">
      <c r="A5" s="8">
        <v>518785</v>
      </c>
      <c r="B5" s="8" t="s">
        <v>12</v>
      </c>
      <c r="C5" s="8" t="s">
        <v>53</v>
      </c>
      <c r="D5" s="8" t="s">
        <v>53</v>
      </c>
      <c r="E5" s="8">
        <v>1</v>
      </c>
      <c r="F5" s="8" t="s">
        <v>44</v>
      </c>
      <c r="G5" s="8" t="s">
        <v>45</v>
      </c>
      <c r="H5" s="8" t="s">
        <v>61</v>
      </c>
      <c r="I5" s="9">
        <v>8352.2199999999993</v>
      </c>
      <c r="J5" s="8" t="s">
        <v>61</v>
      </c>
      <c r="K5" s="9">
        <v>7385.41</v>
      </c>
      <c r="L5" s="9">
        <v>-966.81</v>
      </c>
      <c r="M5" s="10">
        <v>-11.5754853200706</v>
      </c>
      <c r="N5" s="8" t="s">
        <v>54</v>
      </c>
    </row>
    <row r="6" spans="1:14" x14ac:dyDescent="0.35">
      <c r="A6" s="8">
        <v>477554</v>
      </c>
      <c r="B6" s="8" t="s">
        <v>12</v>
      </c>
      <c r="C6" s="8" t="s">
        <v>57</v>
      </c>
      <c r="D6" s="8" t="s">
        <v>57</v>
      </c>
      <c r="E6" s="8">
        <v>1</v>
      </c>
      <c r="F6" s="8" t="s">
        <v>39</v>
      </c>
      <c r="G6" s="8" t="s">
        <v>58</v>
      </c>
      <c r="H6" s="8" t="s">
        <v>55</v>
      </c>
      <c r="I6" s="9">
        <v>1015.54</v>
      </c>
      <c r="J6" s="8" t="s">
        <v>55</v>
      </c>
      <c r="K6" s="9">
        <v>876.05</v>
      </c>
      <c r="L6" s="9">
        <v>-139.49</v>
      </c>
      <c r="M6" s="10">
        <v>-13.7355495598401</v>
      </c>
      <c r="N6" s="8" t="s">
        <v>59</v>
      </c>
    </row>
    <row r="7" spans="1:14" ht="29" x14ac:dyDescent="0.35">
      <c r="A7" s="8">
        <v>478702</v>
      </c>
      <c r="B7" s="8" t="s">
        <v>12</v>
      </c>
      <c r="C7" s="8" t="s">
        <v>70</v>
      </c>
      <c r="D7" s="8" t="s">
        <v>57</v>
      </c>
      <c r="E7" s="8">
        <v>2</v>
      </c>
      <c r="F7" s="8" t="s">
        <v>39</v>
      </c>
      <c r="G7" s="8" t="s">
        <v>58</v>
      </c>
      <c r="H7" s="8" t="s">
        <v>55</v>
      </c>
      <c r="I7" s="9">
        <v>1061.04</v>
      </c>
      <c r="J7" s="8" t="s">
        <v>71</v>
      </c>
      <c r="K7" s="9">
        <v>823.34</v>
      </c>
      <c r="L7" s="9">
        <v>-237.7</v>
      </c>
      <c r="M7" s="10">
        <v>-22.402548443036999</v>
      </c>
      <c r="N7" s="8" t="s">
        <v>72</v>
      </c>
    </row>
    <row r="8" spans="1:14" x14ac:dyDescent="0.35">
      <c r="A8" s="8">
        <v>477483</v>
      </c>
      <c r="B8" s="8" t="s">
        <v>12</v>
      </c>
      <c r="C8" s="8" t="s">
        <v>38</v>
      </c>
      <c r="D8" s="8" t="s">
        <v>38</v>
      </c>
      <c r="E8" s="8">
        <v>1</v>
      </c>
      <c r="F8" s="8" t="s">
        <v>39</v>
      </c>
      <c r="G8" s="8" t="s">
        <v>40</v>
      </c>
      <c r="H8" s="8" t="s">
        <v>55</v>
      </c>
      <c r="I8" s="9">
        <v>789.47</v>
      </c>
      <c r="J8" s="8" t="s">
        <v>71</v>
      </c>
      <c r="K8" s="9">
        <v>624.34</v>
      </c>
      <c r="L8" s="9">
        <v>-165.13</v>
      </c>
      <c r="M8" s="10">
        <v>-20.916564277300001</v>
      </c>
      <c r="N8" s="8" t="s">
        <v>43</v>
      </c>
    </row>
    <row r="9" spans="1:14" x14ac:dyDescent="0.35">
      <c r="A9" s="8">
        <v>722650</v>
      </c>
      <c r="B9" s="8" t="s">
        <v>12</v>
      </c>
      <c r="C9" s="8" t="s">
        <v>70</v>
      </c>
      <c r="D9" s="8" t="s">
        <v>70</v>
      </c>
      <c r="E9" s="8">
        <v>1</v>
      </c>
      <c r="F9" s="8" t="s">
        <v>39</v>
      </c>
      <c r="G9" s="8" t="s">
        <v>58</v>
      </c>
      <c r="H9" s="8" t="s">
        <v>55</v>
      </c>
      <c r="I9" s="9">
        <v>670.69</v>
      </c>
      <c r="J9" s="8" t="s">
        <v>71</v>
      </c>
      <c r="K9" s="9">
        <v>578.23</v>
      </c>
      <c r="L9" s="9">
        <v>-92.46</v>
      </c>
      <c r="M9" s="10">
        <v>-13.7858026808213</v>
      </c>
      <c r="N9" s="8" t="s">
        <v>73</v>
      </c>
    </row>
    <row r="10" spans="1:14" ht="29" x14ac:dyDescent="0.35">
      <c r="A10" s="8">
        <v>476837</v>
      </c>
      <c r="B10" s="8" t="s">
        <v>12</v>
      </c>
      <c r="C10" s="8" t="s">
        <v>38</v>
      </c>
      <c r="D10" s="8" t="s">
        <v>57</v>
      </c>
      <c r="E10" s="8">
        <v>2</v>
      </c>
      <c r="F10" s="8" t="s">
        <v>39</v>
      </c>
      <c r="G10" s="8" t="s">
        <v>66</v>
      </c>
      <c r="H10" s="8" t="s">
        <v>55</v>
      </c>
      <c r="I10" s="9">
        <v>692.69</v>
      </c>
      <c r="J10" s="8" t="s">
        <v>55</v>
      </c>
      <c r="K10" s="9">
        <v>551.35</v>
      </c>
      <c r="L10" s="9">
        <v>-141.34</v>
      </c>
      <c r="M10" s="10">
        <v>-20.404509953947699</v>
      </c>
      <c r="N10" s="8" t="s">
        <v>67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10" customWidth="1"/>
    <col min="2" max="2" width="40" customWidth="1"/>
    <col min="3" max="4" width="14" customWidth="1"/>
    <col min="5" max="5" width="10" customWidth="1"/>
    <col min="6" max="6" width="14" customWidth="1"/>
    <col min="7" max="7" width="45" customWidth="1"/>
    <col min="8" max="8" width="22" customWidth="1"/>
    <col min="9" max="9" width="14" customWidth="1"/>
    <col min="10" max="10" width="22" customWidth="1"/>
    <col min="11" max="12" width="14" customWidth="1"/>
    <col min="13" max="13" width="10" customWidth="1"/>
    <col min="14" max="14" width="80" customWidth="1"/>
  </cols>
  <sheetData>
    <row r="1" spans="1:14" ht="21.75" customHeight="1" x14ac:dyDescent="0.4">
      <c r="A1" s="21" t="s">
        <v>74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5">
      <c r="A2" s="22" t="s">
        <v>75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spans="1:14" ht="28" x14ac:dyDescent="0.35">
      <c r="A4" s="2" t="s">
        <v>27</v>
      </c>
      <c r="B4" s="2" t="s">
        <v>3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5</v>
      </c>
      <c r="J4" s="2" t="s">
        <v>34</v>
      </c>
      <c r="K4" s="2" t="s">
        <v>6</v>
      </c>
      <c r="L4" s="2" t="s">
        <v>35</v>
      </c>
      <c r="M4" s="2" t="s">
        <v>36</v>
      </c>
      <c r="N4" s="2" t="s">
        <v>37</v>
      </c>
    </row>
    <row r="5" spans="1:14" ht="29" x14ac:dyDescent="0.35">
      <c r="A5" s="8">
        <v>475630</v>
      </c>
      <c r="B5" s="8" t="s">
        <v>13</v>
      </c>
      <c r="C5" s="8" t="s">
        <v>70</v>
      </c>
      <c r="D5" s="8" t="s">
        <v>57</v>
      </c>
      <c r="E5" s="8">
        <v>2</v>
      </c>
      <c r="F5" s="8" t="s">
        <v>44</v>
      </c>
      <c r="G5" s="8" t="s">
        <v>76</v>
      </c>
      <c r="H5" s="8" t="s">
        <v>56</v>
      </c>
      <c r="I5" s="9">
        <v>26198.01</v>
      </c>
      <c r="J5" s="8"/>
      <c r="K5" s="9">
        <v>29210.51</v>
      </c>
      <c r="L5" s="9">
        <v>3012.5</v>
      </c>
      <c r="M5" s="10">
        <v>11.4989649977231</v>
      </c>
      <c r="N5" s="8" t="s">
        <v>77</v>
      </c>
    </row>
    <row r="6" spans="1:14" ht="29" x14ac:dyDescent="0.35">
      <c r="A6" s="8">
        <v>475248</v>
      </c>
      <c r="B6" s="8" t="s">
        <v>13</v>
      </c>
      <c r="C6" s="8" t="s">
        <v>78</v>
      </c>
      <c r="D6" s="8" t="s">
        <v>57</v>
      </c>
      <c r="E6" s="8">
        <v>3</v>
      </c>
      <c r="F6" s="8" t="s">
        <v>44</v>
      </c>
      <c r="G6" s="8" t="s">
        <v>79</v>
      </c>
      <c r="H6" s="8" t="s">
        <v>61</v>
      </c>
      <c r="I6" s="9">
        <v>13736.14</v>
      </c>
      <c r="J6" s="8" t="s">
        <v>61</v>
      </c>
      <c r="K6" s="9">
        <v>13878.33</v>
      </c>
      <c r="L6" s="9">
        <v>142.19000000000099</v>
      </c>
      <c r="M6" s="10">
        <v>1.0351525246539499</v>
      </c>
      <c r="N6" s="8" t="s">
        <v>80</v>
      </c>
    </row>
    <row r="7" spans="1:14" ht="29" x14ac:dyDescent="0.35">
      <c r="A7" s="8">
        <v>476688</v>
      </c>
      <c r="B7" s="8" t="s">
        <v>13</v>
      </c>
      <c r="C7" s="8" t="s">
        <v>53</v>
      </c>
      <c r="D7" s="8" t="s">
        <v>57</v>
      </c>
      <c r="E7" s="8">
        <v>2</v>
      </c>
      <c r="F7" s="8" t="s">
        <v>39</v>
      </c>
      <c r="G7" s="8" t="s">
        <v>81</v>
      </c>
      <c r="H7" s="8" t="s">
        <v>61</v>
      </c>
      <c r="I7" s="9">
        <v>9758.2800000000007</v>
      </c>
      <c r="J7" s="8" t="s">
        <v>61</v>
      </c>
      <c r="K7" s="9">
        <v>11001.43</v>
      </c>
      <c r="L7" s="9">
        <v>1243.1500000000001</v>
      </c>
      <c r="M7" s="10">
        <v>12.7394376877892</v>
      </c>
      <c r="N7" s="8" t="s">
        <v>82</v>
      </c>
    </row>
    <row r="8" spans="1:14" x14ac:dyDescent="0.35">
      <c r="A8" s="8">
        <v>479669</v>
      </c>
      <c r="B8" s="8" t="s">
        <v>13</v>
      </c>
      <c r="C8" s="8" t="s">
        <v>57</v>
      </c>
      <c r="D8" s="8" t="s">
        <v>57</v>
      </c>
      <c r="E8" s="8">
        <v>1</v>
      </c>
      <c r="F8" s="8" t="s">
        <v>44</v>
      </c>
      <c r="G8" s="8" t="s">
        <v>45</v>
      </c>
      <c r="H8" s="8" t="s">
        <v>61</v>
      </c>
      <c r="I8" s="9">
        <v>4623.6000000000004</v>
      </c>
      <c r="J8" s="8" t="s">
        <v>61</v>
      </c>
      <c r="K8" s="9">
        <v>4623.6000000000004</v>
      </c>
      <c r="L8" s="9">
        <v>0</v>
      </c>
      <c r="M8" s="10">
        <v>0</v>
      </c>
      <c r="N8" s="8" t="s">
        <v>83</v>
      </c>
    </row>
    <row r="9" spans="1:14" ht="29" x14ac:dyDescent="0.35">
      <c r="A9" s="8">
        <v>629356</v>
      </c>
      <c r="B9" s="8" t="s">
        <v>13</v>
      </c>
      <c r="C9" s="8" t="s">
        <v>53</v>
      </c>
      <c r="D9" s="8" t="s">
        <v>57</v>
      </c>
      <c r="E9" s="8">
        <v>2</v>
      </c>
      <c r="F9" s="8" t="s">
        <v>44</v>
      </c>
      <c r="G9" s="8" t="s">
        <v>84</v>
      </c>
      <c r="H9" s="8" t="s">
        <v>61</v>
      </c>
      <c r="I9" s="9">
        <v>3693.17</v>
      </c>
      <c r="J9" s="8" t="s">
        <v>61</v>
      </c>
      <c r="K9" s="9">
        <v>3935.67</v>
      </c>
      <c r="L9" s="9">
        <v>242.5</v>
      </c>
      <c r="M9" s="10">
        <v>6.5661748579133903</v>
      </c>
      <c r="N9" s="8" t="s">
        <v>85</v>
      </c>
    </row>
    <row r="10" spans="1:14" ht="29" x14ac:dyDescent="0.35">
      <c r="A10" s="8">
        <v>789970</v>
      </c>
      <c r="B10" s="8" t="s">
        <v>13</v>
      </c>
      <c r="C10" s="8" t="s">
        <v>49</v>
      </c>
      <c r="D10" s="8" t="s">
        <v>57</v>
      </c>
      <c r="E10" s="8">
        <v>2</v>
      </c>
      <c r="F10" s="8" t="s">
        <v>44</v>
      </c>
      <c r="G10" s="8" t="s">
        <v>86</v>
      </c>
      <c r="H10" s="8" t="s">
        <v>87</v>
      </c>
      <c r="I10" s="9">
        <v>3487.81</v>
      </c>
      <c r="J10" s="8" t="s">
        <v>87</v>
      </c>
      <c r="K10" s="9">
        <v>3536.56</v>
      </c>
      <c r="L10" s="9">
        <v>48.75</v>
      </c>
      <c r="M10" s="10">
        <v>1.3977252201238</v>
      </c>
      <c r="N10" s="8" t="s">
        <v>88</v>
      </c>
    </row>
    <row r="11" spans="1:14" x14ac:dyDescent="0.35">
      <c r="A11" s="8">
        <v>478487</v>
      </c>
      <c r="B11" s="8" t="s">
        <v>13</v>
      </c>
      <c r="C11" s="8" t="s">
        <v>57</v>
      </c>
      <c r="D11" s="8" t="s">
        <v>57</v>
      </c>
      <c r="E11" s="8">
        <v>1</v>
      </c>
      <c r="F11" s="8" t="s">
        <v>44</v>
      </c>
      <c r="G11" s="8" t="s">
        <v>45</v>
      </c>
      <c r="H11" s="8" t="s">
        <v>61</v>
      </c>
      <c r="I11" s="9">
        <v>3292.8</v>
      </c>
      <c r="J11" s="8" t="s">
        <v>61</v>
      </c>
      <c r="K11" s="9">
        <v>3369.19</v>
      </c>
      <c r="L11" s="9">
        <v>76.389999999999901</v>
      </c>
      <c r="M11" s="10">
        <v>2.3199101068999002</v>
      </c>
      <c r="N11" s="8" t="s">
        <v>83</v>
      </c>
    </row>
    <row r="12" spans="1:14" x14ac:dyDescent="0.35">
      <c r="A12" s="8">
        <v>805139</v>
      </c>
      <c r="B12" s="8" t="s">
        <v>13</v>
      </c>
      <c r="C12" s="8" t="s">
        <v>57</v>
      </c>
      <c r="D12" s="8" t="s">
        <v>57</v>
      </c>
      <c r="E12" s="8">
        <v>1</v>
      </c>
      <c r="F12" s="8" t="s">
        <v>44</v>
      </c>
      <c r="G12" s="8" t="s">
        <v>45</v>
      </c>
      <c r="H12" s="8" t="s">
        <v>61</v>
      </c>
      <c r="I12" s="9">
        <v>2648.68</v>
      </c>
      <c r="J12" s="8" t="s">
        <v>61</v>
      </c>
      <c r="K12" s="9">
        <v>2710.68</v>
      </c>
      <c r="L12" s="9">
        <v>62</v>
      </c>
      <c r="M12" s="10">
        <v>2.3407886192367502</v>
      </c>
      <c r="N12" s="8" t="s">
        <v>83</v>
      </c>
    </row>
    <row r="13" spans="1:14" ht="29" x14ac:dyDescent="0.35">
      <c r="A13" s="8">
        <v>477145</v>
      </c>
      <c r="B13" s="8" t="s">
        <v>13</v>
      </c>
      <c r="C13" s="8" t="s">
        <v>53</v>
      </c>
      <c r="D13" s="8" t="s">
        <v>57</v>
      </c>
      <c r="E13" s="8">
        <v>3</v>
      </c>
      <c r="F13" s="8" t="s">
        <v>39</v>
      </c>
      <c r="G13" s="8" t="s">
        <v>58</v>
      </c>
      <c r="H13" s="8" t="s">
        <v>89</v>
      </c>
      <c r="I13" s="9">
        <v>2165.84</v>
      </c>
      <c r="J13" s="8" t="s">
        <v>89</v>
      </c>
      <c r="K13" s="9">
        <v>2238.4499999999998</v>
      </c>
      <c r="L13" s="9">
        <v>72.609999999999701</v>
      </c>
      <c r="M13" s="10">
        <v>3.3525098806929301</v>
      </c>
      <c r="N13" s="8" t="s">
        <v>90</v>
      </c>
    </row>
    <row r="14" spans="1:14" ht="29" x14ac:dyDescent="0.35">
      <c r="A14" s="8">
        <v>475145</v>
      </c>
      <c r="B14" s="8" t="s">
        <v>13</v>
      </c>
      <c r="C14" s="8" t="s">
        <v>70</v>
      </c>
      <c r="D14" s="8" t="s">
        <v>57</v>
      </c>
      <c r="E14" s="8">
        <v>2</v>
      </c>
      <c r="F14" s="8" t="s">
        <v>44</v>
      </c>
      <c r="G14" s="8" t="s">
        <v>91</v>
      </c>
      <c r="H14" s="8" t="s">
        <v>89</v>
      </c>
      <c r="I14" s="9">
        <v>1987.87</v>
      </c>
      <c r="J14" s="8" t="s">
        <v>61</v>
      </c>
      <c r="K14" s="9">
        <v>2164.84</v>
      </c>
      <c r="L14" s="9">
        <v>176.97</v>
      </c>
      <c r="M14" s="10">
        <v>8.9024936238285299</v>
      </c>
      <c r="N14" s="8" t="s">
        <v>92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0"/>
  <sheetViews>
    <sheetView tabSelected="1" zoomScaleNormal="100" workbookViewId="0">
      <pane xSplit="2" ySplit="4" topLeftCell="C27" activePane="bottomRight" state="frozen"/>
      <selection pane="topRight" activeCell="C1" sqref="C1"/>
      <selection pane="bottomLeft" activeCell="A5" sqref="A5"/>
      <selection pane="bottomRight" activeCell="N37" sqref="N37"/>
    </sheetView>
  </sheetViews>
  <sheetFormatPr defaultColWidth="8.6328125" defaultRowHeight="14.5" x14ac:dyDescent="0.35"/>
  <cols>
    <col min="1" max="1" width="10.54296875" customWidth="1"/>
    <col min="2" max="2" width="40" customWidth="1"/>
    <col min="3" max="3" width="18.1796875" customWidth="1"/>
    <col min="4" max="4" width="18.08984375" customWidth="1"/>
    <col min="5" max="5" width="14.90625" customWidth="1"/>
    <col min="6" max="6" width="15.7265625" customWidth="1"/>
    <col min="7" max="7" width="45" customWidth="1"/>
    <col min="8" max="8" width="22" customWidth="1"/>
    <col min="9" max="9" width="14.26953125" customWidth="1"/>
    <col min="10" max="10" width="22" customWidth="1"/>
    <col min="11" max="11" width="16.453125" customWidth="1"/>
    <col min="12" max="12" width="18" customWidth="1"/>
    <col min="13" max="13" width="13.6328125" customWidth="1"/>
    <col min="14" max="14" width="80" customWidth="1"/>
  </cols>
  <sheetData>
    <row r="1" spans="1:14" ht="21.75" customHeight="1" x14ac:dyDescent="0.4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5">
      <c r="A2" s="22" t="s">
        <v>94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spans="1:14" x14ac:dyDescent="0.35">
      <c r="A4" s="13" t="s">
        <v>27</v>
      </c>
      <c r="B4" s="14" t="s">
        <v>3</v>
      </c>
      <c r="C4" s="14" t="s">
        <v>28</v>
      </c>
      <c r="D4" s="14" t="s">
        <v>29</v>
      </c>
      <c r="E4" s="14" t="s">
        <v>30</v>
      </c>
      <c r="F4" s="14" t="s">
        <v>31</v>
      </c>
      <c r="G4" s="14" t="s">
        <v>32</v>
      </c>
      <c r="H4" s="14" t="s">
        <v>33</v>
      </c>
      <c r="I4" s="14" t="s">
        <v>5</v>
      </c>
      <c r="J4" s="14" t="s">
        <v>34</v>
      </c>
      <c r="K4" s="14" t="s">
        <v>6</v>
      </c>
      <c r="L4" s="14" t="s">
        <v>35</v>
      </c>
      <c r="M4" s="14" t="s">
        <v>36</v>
      </c>
      <c r="N4" s="15" t="s">
        <v>37</v>
      </c>
    </row>
    <row r="5" spans="1:14" x14ac:dyDescent="0.35">
      <c r="A5" s="11">
        <v>475816</v>
      </c>
      <c r="B5" s="8" t="s">
        <v>14</v>
      </c>
      <c r="C5" s="8" t="s">
        <v>78</v>
      </c>
      <c r="D5" s="8" t="s">
        <v>78</v>
      </c>
      <c r="E5" s="8">
        <v>1</v>
      </c>
      <c r="F5" s="8" t="s">
        <v>44</v>
      </c>
      <c r="G5" s="8" t="s">
        <v>84</v>
      </c>
      <c r="H5" s="8" t="s">
        <v>61</v>
      </c>
      <c r="I5" s="9">
        <v>20624.43</v>
      </c>
      <c r="J5" s="8" t="s">
        <v>61</v>
      </c>
      <c r="K5" s="9">
        <v>24378.07</v>
      </c>
      <c r="L5" s="9">
        <v>3753.64</v>
      </c>
      <c r="M5" s="10">
        <v>18.199969647646</v>
      </c>
      <c r="N5" s="12" t="s">
        <v>95</v>
      </c>
    </row>
    <row r="6" spans="1:14" x14ac:dyDescent="0.35">
      <c r="A6" s="11">
        <v>478678</v>
      </c>
      <c r="B6" s="8" t="s">
        <v>14</v>
      </c>
      <c r="C6" s="8" t="s">
        <v>53</v>
      </c>
      <c r="D6" s="8" t="s">
        <v>53</v>
      </c>
      <c r="E6" s="8">
        <v>1</v>
      </c>
      <c r="F6" s="8" t="s">
        <v>44</v>
      </c>
      <c r="G6" s="8" t="s">
        <v>45</v>
      </c>
      <c r="H6" s="8" t="s">
        <v>61</v>
      </c>
      <c r="I6" s="9">
        <v>16761.73</v>
      </c>
      <c r="J6" s="8" t="s">
        <v>61</v>
      </c>
      <c r="K6" s="9">
        <v>17992.48</v>
      </c>
      <c r="L6" s="9">
        <v>1230.75</v>
      </c>
      <c r="M6" s="10">
        <v>7.3426191687850801</v>
      </c>
      <c r="N6" s="12" t="s">
        <v>54</v>
      </c>
    </row>
    <row r="7" spans="1:14" x14ac:dyDescent="0.35">
      <c r="A7" s="11">
        <v>478639</v>
      </c>
      <c r="B7" s="8" t="s">
        <v>14</v>
      </c>
      <c r="C7" s="8" t="s">
        <v>63</v>
      </c>
      <c r="D7" s="8" t="s">
        <v>63</v>
      </c>
      <c r="E7" s="8">
        <v>1</v>
      </c>
      <c r="F7" s="8" t="s">
        <v>44</v>
      </c>
      <c r="G7" s="8" t="s">
        <v>84</v>
      </c>
      <c r="H7" s="8" t="s">
        <v>61</v>
      </c>
      <c r="I7" s="9">
        <v>10838.89</v>
      </c>
      <c r="J7" s="8" t="s">
        <v>61</v>
      </c>
      <c r="K7" s="9">
        <v>12061.53</v>
      </c>
      <c r="L7" s="9">
        <v>1222.6400000000001</v>
      </c>
      <c r="M7" s="10">
        <v>11.2801218574965</v>
      </c>
      <c r="N7" s="12" t="s">
        <v>96</v>
      </c>
    </row>
    <row r="8" spans="1:14" x14ac:dyDescent="0.35">
      <c r="A8" s="11">
        <v>477403</v>
      </c>
      <c r="B8" s="8" t="s">
        <v>14</v>
      </c>
      <c r="C8" s="8" t="s">
        <v>38</v>
      </c>
      <c r="D8" s="8" t="s">
        <v>38</v>
      </c>
      <c r="E8" s="8">
        <v>1</v>
      </c>
      <c r="F8" s="8" t="s">
        <v>44</v>
      </c>
      <c r="G8" s="8" t="s">
        <v>97</v>
      </c>
      <c r="H8" s="8" t="s">
        <v>61</v>
      </c>
      <c r="I8" s="9">
        <v>11793.22</v>
      </c>
      <c r="J8" s="8" t="s">
        <v>61</v>
      </c>
      <c r="K8" s="9">
        <v>11882.11</v>
      </c>
      <c r="L8" s="9">
        <v>88.890000000001194</v>
      </c>
      <c r="M8" s="10">
        <v>0.75373816480996103</v>
      </c>
      <c r="N8" s="12" t="s">
        <v>98</v>
      </c>
    </row>
    <row r="9" spans="1:14" ht="29" x14ac:dyDescent="0.35">
      <c r="A9" s="11">
        <v>475404</v>
      </c>
      <c r="B9" s="8" t="s">
        <v>14</v>
      </c>
      <c r="C9" s="8" t="s">
        <v>38</v>
      </c>
      <c r="D9" s="8" t="s">
        <v>63</v>
      </c>
      <c r="E9" s="8">
        <v>3</v>
      </c>
      <c r="F9" s="8" t="s">
        <v>44</v>
      </c>
      <c r="G9" s="8" t="s">
        <v>79</v>
      </c>
      <c r="H9" s="8" t="s">
        <v>61</v>
      </c>
      <c r="I9" s="9">
        <v>9666.17</v>
      </c>
      <c r="J9" s="8" t="s">
        <v>61</v>
      </c>
      <c r="K9" s="9">
        <v>11811.38</v>
      </c>
      <c r="L9" s="9">
        <v>2145.21</v>
      </c>
      <c r="M9" s="10">
        <v>22.192967845589301</v>
      </c>
      <c r="N9" s="12" t="s">
        <v>99</v>
      </c>
    </row>
    <row r="10" spans="1:14" x14ac:dyDescent="0.35">
      <c r="A10" s="11">
        <v>476445</v>
      </c>
      <c r="B10" s="8" t="s">
        <v>14</v>
      </c>
      <c r="C10" s="8" t="s">
        <v>63</v>
      </c>
      <c r="D10" s="8" t="s">
        <v>63</v>
      </c>
      <c r="E10" s="8">
        <v>1</v>
      </c>
      <c r="F10" s="8" t="s">
        <v>44</v>
      </c>
      <c r="G10" s="8" t="s">
        <v>84</v>
      </c>
      <c r="H10" s="8" t="s">
        <v>61</v>
      </c>
      <c r="I10" s="9">
        <v>10388.450000000001</v>
      </c>
      <c r="J10" s="8" t="s">
        <v>61</v>
      </c>
      <c r="K10" s="9">
        <v>11675.33</v>
      </c>
      <c r="L10" s="9">
        <v>1286.8800000000001</v>
      </c>
      <c r="M10" s="10">
        <v>12.387603540470399</v>
      </c>
      <c r="N10" s="12" t="s">
        <v>96</v>
      </c>
    </row>
    <row r="11" spans="1:14" x14ac:dyDescent="0.35">
      <c r="A11" s="11">
        <v>673358</v>
      </c>
      <c r="B11" s="8" t="s">
        <v>14</v>
      </c>
      <c r="C11" s="8" t="s">
        <v>70</v>
      </c>
      <c r="D11" s="8" t="s">
        <v>70</v>
      </c>
      <c r="E11" s="8">
        <v>1</v>
      </c>
      <c r="F11" s="8" t="s">
        <v>44</v>
      </c>
      <c r="G11" s="8" t="s">
        <v>100</v>
      </c>
      <c r="H11" s="8" t="s">
        <v>61</v>
      </c>
      <c r="I11" s="9">
        <v>11055.46</v>
      </c>
      <c r="J11" s="8" t="s">
        <v>61</v>
      </c>
      <c r="K11" s="9">
        <v>11055.46</v>
      </c>
      <c r="L11" s="9">
        <v>0</v>
      </c>
      <c r="M11" s="10">
        <v>0</v>
      </c>
      <c r="N11" s="12" t="s">
        <v>101</v>
      </c>
    </row>
    <row r="12" spans="1:14" x14ac:dyDescent="0.35">
      <c r="A12" s="11">
        <v>478075</v>
      </c>
      <c r="B12" s="8" t="s">
        <v>14</v>
      </c>
      <c r="C12" s="8" t="s">
        <v>70</v>
      </c>
      <c r="D12" s="8" t="s">
        <v>70</v>
      </c>
      <c r="E12" s="8">
        <v>1</v>
      </c>
      <c r="F12" s="8" t="s">
        <v>44</v>
      </c>
      <c r="G12" s="8" t="s">
        <v>100</v>
      </c>
      <c r="H12" s="8" t="s">
        <v>56</v>
      </c>
      <c r="I12" s="9">
        <v>7700</v>
      </c>
      <c r="J12" s="8"/>
      <c r="K12" s="9">
        <v>10650</v>
      </c>
      <c r="L12" s="9">
        <v>2950</v>
      </c>
      <c r="M12" s="10">
        <v>38.3116883116883</v>
      </c>
      <c r="N12" s="12" t="s">
        <v>101</v>
      </c>
    </row>
    <row r="13" spans="1:14" ht="29" x14ac:dyDescent="0.35">
      <c r="A13" s="11">
        <v>478431</v>
      </c>
      <c r="B13" s="8" t="s">
        <v>14</v>
      </c>
      <c r="C13" s="8" t="s">
        <v>49</v>
      </c>
      <c r="D13" s="8" t="s">
        <v>49</v>
      </c>
      <c r="E13" s="8">
        <v>1</v>
      </c>
      <c r="F13" s="8" t="s">
        <v>44</v>
      </c>
      <c r="G13" s="8" t="s">
        <v>102</v>
      </c>
      <c r="H13" s="8" t="s">
        <v>56</v>
      </c>
      <c r="I13" s="9">
        <v>7650</v>
      </c>
      <c r="J13" s="8"/>
      <c r="K13" s="9">
        <v>10648.75</v>
      </c>
      <c r="L13" s="9">
        <v>2998.75</v>
      </c>
      <c r="M13" s="10">
        <v>39.199346405228802</v>
      </c>
      <c r="N13" s="12" t="s">
        <v>103</v>
      </c>
    </row>
    <row r="14" spans="1:14" x14ac:dyDescent="0.35">
      <c r="A14" s="11">
        <v>477963</v>
      </c>
      <c r="B14" s="8" t="s">
        <v>14</v>
      </c>
      <c r="C14" s="8" t="s">
        <v>70</v>
      </c>
      <c r="D14" s="8" t="s">
        <v>70</v>
      </c>
      <c r="E14" s="8">
        <v>1</v>
      </c>
      <c r="F14" s="8" t="s">
        <v>44</v>
      </c>
      <c r="G14" s="8" t="s">
        <v>100</v>
      </c>
      <c r="H14" s="8" t="s">
        <v>55</v>
      </c>
      <c r="I14" s="9">
        <v>7480.61</v>
      </c>
      <c r="J14" s="8" t="s">
        <v>71</v>
      </c>
      <c r="K14" s="9">
        <v>10555.72</v>
      </c>
      <c r="L14" s="9">
        <v>3075.11</v>
      </c>
      <c r="M14" s="10">
        <v>41.107743887196399</v>
      </c>
      <c r="N14" s="12" t="s">
        <v>101</v>
      </c>
    </row>
    <row r="15" spans="1:14" x14ac:dyDescent="0.35">
      <c r="A15" s="11">
        <v>477413</v>
      </c>
      <c r="B15" s="8" t="s">
        <v>14</v>
      </c>
      <c r="C15" s="8" t="s">
        <v>38</v>
      </c>
      <c r="D15" s="8" t="s">
        <v>38</v>
      </c>
      <c r="E15" s="8">
        <v>1</v>
      </c>
      <c r="F15" s="8" t="s">
        <v>39</v>
      </c>
      <c r="G15" s="8" t="s">
        <v>104</v>
      </c>
      <c r="H15" s="8" t="s">
        <v>61</v>
      </c>
      <c r="I15" s="9">
        <v>9868.07</v>
      </c>
      <c r="J15" s="8" t="s">
        <v>61</v>
      </c>
      <c r="K15" s="9">
        <v>9868.07</v>
      </c>
      <c r="L15" s="9">
        <v>0</v>
      </c>
      <c r="M15" s="10">
        <v>0</v>
      </c>
      <c r="N15" s="12" t="s">
        <v>105</v>
      </c>
    </row>
    <row r="16" spans="1:14" x14ac:dyDescent="0.35">
      <c r="A16" s="11">
        <v>475316</v>
      </c>
      <c r="B16" s="8" t="s">
        <v>14</v>
      </c>
      <c r="C16" s="8" t="s">
        <v>38</v>
      </c>
      <c r="D16" s="8" t="s">
        <v>38</v>
      </c>
      <c r="E16" s="8">
        <v>1</v>
      </c>
      <c r="F16" s="8" t="s">
        <v>39</v>
      </c>
      <c r="G16" s="8" t="s">
        <v>47</v>
      </c>
      <c r="H16" s="8" t="s">
        <v>61</v>
      </c>
      <c r="I16" s="9">
        <v>9652.26</v>
      </c>
      <c r="J16" s="8" t="s">
        <v>61</v>
      </c>
      <c r="K16" s="9">
        <v>9729.17</v>
      </c>
      <c r="L16" s="9">
        <v>76.909999999999897</v>
      </c>
      <c r="M16" s="10">
        <v>0.79680820864750701</v>
      </c>
      <c r="N16" s="12" t="s">
        <v>48</v>
      </c>
    </row>
    <row r="17" spans="1:14" ht="29" x14ac:dyDescent="0.35">
      <c r="A17" s="11">
        <v>478410</v>
      </c>
      <c r="B17" s="8" t="s">
        <v>14</v>
      </c>
      <c r="C17" s="8" t="s">
        <v>49</v>
      </c>
      <c r="D17" s="8" t="s">
        <v>49</v>
      </c>
      <c r="E17" s="8">
        <v>1</v>
      </c>
      <c r="F17" s="8" t="s">
        <v>44</v>
      </c>
      <c r="G17" s="8" t="s">
        <v>102</v>
      </c>
      <c r="H17" s="8" t="s">
        <v>61</v>
      </c>
      <c r="I17" s="9">
        <v>5885.96</v>
      </c>
      <c r="J17" s="8" t="s">
        <v>61</v>
      </c>
      <c r="K17" s="9">
        <v>8835.9599999999991</v>
      </c>
      <c r="L17" s="9">
        <v>2950</v>
      </c>
      <c r="M17" s="10">
        <v>50.119266865557996</v>
      </c>
      <c r="N17" s="12" t="s">
        <v>103</v>
      </c>
    </row>
    <row r="18" spans="1:14" ht="29" x14ac:dyDescent="0.35">
      <c r="A18" s="11">
        <v>579928</v>
      </c>
      <c r="B18" s="8" t="s">
        <v>14</v>
      </c>
      <c r="C18" s="8" t="s">
        <v>49</v>
      </c>
      <c r="D18" s="8" t="s">
        <v>49</v>
      </c>
      <c r="E18" s="8">
        <v>1</v>
      </c>
      <c r="F18" s="8" t="s">
        <v>44</v>
      </c>
      <c r="G18" s="8" t="s">
        <v>106</v>
      </c>
      <c r="H18" s="8" t="s">
        <v>55</v>
      </c>
      <c r="I18" s="9">
        <v>5415.89</v>
      </c>
      <c r="J18" s="8" t="s">
        <v>71</v>
      </c>
      <c r="K18" s="9">
        <v>8472.33</v>
      </c>
      <c r="L18" s="9">
        <v>3056.44</v>
      </c>
      <c r="M18" s="10">
        <v>56.434676479765997</v>
      </c>
      <c r="N18" s="12" t="s">
        <v>107</v>
      </c>
    </row>
    <row r="19" spans="1:14" ht="29" x14ac:dyDescent="0.35">
      <c r="A19" s="11">
        <v>764438</v>
      </c>
      <c r="B19" s="8" t="s">
        <v>14</v>
      </c>
      <c r="C19" s="8" t="s">
        <v>70</v>
      </c>
      <c r="D19" s="8" t="s">
        <v>108</v>
      </c>
      <c r="E19" s="8">
        <v>3</v>
      </c>
      <c r="F19" s="8" t="s">
        <v>44</v>
      </c>
      <c r="G19" s="8" t="s">
        <v>45</v>
      </c>
      <c r="H19" s="8" t="s">
        <v>61</v>
      </c>
      <c r="I19" s="9">
        <v>6209.08</v>
      </c>
      <c r="J19" s="8" t="s">
        <v>61</v>
      </c>
      <c r="K19" s="9">
        <v>8339.52</v>
      </c>
      <c r="L19" s="9">
        <v>2130.44</v>
      </c>
      <c r="M19" s="10">
        <v>34.311685467090101</v>
      </c>
      <c r="N19" s="12" t="s">
        <v>109</v>
      </c>
    </row>
    <row r="20" spans="1:14" x14ac:dyDescent="0.35">
      <c r="A20" s="11">
        <v>478718</v>
      </c>
      <c r="B20" s="8" t="s">
        <v>14</v>
      </c>
      <c r="C20" s="8" t="s">
        <v>70</v>
      </c>
      <c r="D20" s="8" t="s">
        <v>70</v>
      </c>
      <c r="E20" s="8">
        <v>1</v>
      </c>
      <c r="F20" s="8" t="s">
        <v>44</v>
      </c>
      <c r="G20" s="8" t="s">
        <v>84</v>
      </c>
      <c r="H20" s="8" t="s">
        <v>61</v>
      </c>
      <c r="I20" s="9">
        <v>8290.75</v>
      </c>
      <c r="J20" s="8"/>
      <c r="K20" s="9">
        <v>8220.6299999999992</v>
      </c>
      <c r="L20" s="9">
        <v>-70.1200000000008</v>
      </c>
      <c r="M20" s="10">
        <v>-0.84576184301783097</v>
      </c>
      <c r="N20" s="12" t="s">
        <v>110</v>
      </c>
    </row>
    <row r="21" spans="1:14" x14ac:dyDescent="0.35">
      <c r="A21" s="11">
        <v>474966</v>
      </c>
      <c r="B21" s="8" t="s">
        <v>14</v>
      </c>
      <c r="C21" s="8" t="s">
        <v>38</v>
      </c>
      <c r="D21" s="8" t="s">
        <v>70</v>
      </c>
      <c r="E21" s="8">
        <v>2</v>
      </c>
      <c r="F21" s="8" t="s">
        <v>44</v>
      </c>
      <c r="G21" s="8" t="s">
        <v>111</v>
      </c>
      <c r="H21" s="8" t="s">
        <v>112</v>
      </c>
      <c r="I21" s="9">
        <v>8849.7000000000007</v>
      </c>
      <c r="J21" s="8" t="s">
        <v>112</v>
      </c>
      <c r="K21" s="9">
        <v>8205.77</v>
      </c>
      <c r="L21" s="9">
        <v>-643.92999999999995</v>
      </c>
      <c r="M21" s="10">
        <v>-7.2762918517011901</v>
      </c>
      <c r="N21" s="12" t="s">
        <v>113</v>
      </c>
    </row>
    <row r="22" spans="1:14" ht="29" x14ac:dyDescent="0.35">
      <c r="A22" s="11">
        <v>476119</v>
      </c>
      <c r="B22" s="8" t="s">
        <v>14</v>
      </c>
      <c r="C22" s="8" t="s">
        <v>53</v>
      </c>
      <c r="D22" s="8" t="s">
        <v>70</v>
      </c>
      <c r="E22" s="8">
        <v>2</v>
      </c>
      <c r="F22" s="8" t="s">
        <v>39</v>
      </c>
      <c r="G22" s="8" t="s">
        <v>47</v>
      </c>
      <c r="H22" s="8" t="s">
        <v>61</v>
      </c>
      <c r="I22" s="9">
        <v>7625.63</v>
      </c>
      <c r="J22" s="8" t="s">
        <v>61</v>
      </c>
      <c r="K22" s="9">
        <v>8117.19</v>
      </c>
      <c r="L22" s="9">
        <v>491.56</v>
      </c>
      <c r="M22" s="10">
        <v>6.44615592416626</v>
      </c>
      <c r="N22" s="12" t="s">
        <v>114</v>
      </c>
    </row>
    <row r="23" spans="1:14" x14ac:dyDescent="0.35">
      <c r="A23" s="11">
        <v>476708</v>
      </c>
      <c r="B23" s="8" t="s">
        <v>14</v>
      </c>
      <c r="C23" s="8" t="s">
        <v>38</v>
      </c>
      <c r="D23" s="8" t="s">
        <v>38</v>
      </c>
      <c r="E23" s="8">
        <v>1</v>
      </c>
      <c r="F23" s="8" t="s">
        <v>44</v>
      </c>
      <c r="G23" s="8" t="s">
        <v>45</v>
      </c>
      <c r="H23" s="8" t="s">
        <v>61</v>
      </c>
      <c r="I23" s="9">
        <v>6831.9</v>
      </c>
      <c r="J23" s="8" t="s">
        <v>61</v>
      </c>
      <c r="K23" s="9">
        <v>7783.12</v>
      </c>
      <c r="L23" s="9">
        <v>951.22</v>
      </c>
      <c r="M23" s="10">
        <v>13.923213161785201</v>
      </c>
      <c r="N23" s="12" t="s">
        <v>46</v>
      </c>
    </row>
    <row r="24" spans="1:14" ht="29" x14ac:dyDescent="0.35">
      <c r="A24" s="11">
        <v>476511</v>
      </c>
      <c r="B24" s="8" t="s">
        <v>14</v>
      </c>
      <c r="C24" s="8" t="s">
        <v>49</v>
      </c>
      <c r="D24" s="8" t="s">
        <v>49</v>
      </c>
      <c r="E24" s="8">
        <v>1</v>
      </c>
      <c r="F24" s="8" t="s">
        <v>44</v>
      </c>
      <c r="G24" s="8" t="s">
        <v>102</v>
      </c>
      <c r="H24" s="8" t="s">
        <v>56</v>
      </c>
      <c r="I24" s="9">
        <v>4600</v>
      </c>
      <c r="J24" s="8"/>
      <c r="K24" s="9">
        <v>7598.75</v>
      </c>
      <c r="L24" s="9">
        <v>2998.75</v>
      </c>
      <c r="M24" s="10">
        <v>65.190217391304301</v>
      </c>
      <c r="N24" s="12" t="s">
        <v>103</v>
      </c>
    </row>
    <row r="25" spans="1:14" x14ac:dyDescent="0.35">
      <c r="A25" s="11">
        <v>478973</v>
      </c>
      <c r="B25" s="8" t="s">
        <v>14</v>
      </c>
      <c r="C25" s="8" t="s">
        <v>38</v>
      </c>
      <c r="D25" s="8" t="s">
        <v>38</v>
      </c>
      <c r="E25" s="8">
        <v>1</v>
      </c>
      <c r="F25" s="8" t="s">
        <v>39</v>
      </c>
      <c r="G25" s="8" t="s">
        <v>47</v>
      </c>
      <c r="H25" s="8" t="s">
        <v>61</v>
      </c>
      <c r="I25" s="9">
        <v>7004.91</v>
      </c>
      <c r="J25" s="8" t="s">
        <v>61</v>
      </c>
      <c r="K25" s="9">
        <v>7148.66</v>
      </c>
      <c r="L25" s="9">
        <v>143.75</v>
      </c>
      <c r="M25" s="10">
        <v>2.05213200455109</v>
      </c>
      <c r="N25" s="12" t="s">
        <v>48</v>
      </c>
    </row>
    <row r="26" spans="1:14" ht="29" x14ac:dyDescent="0.35">
      <c r="A26" s="11">
        <v>476614</v>
      </c>
      <c r="B26" s="8" t="s">
        <v>14</v>
      </c>
      <c r="C26" s="8" t="s">
        <v>38</v>
      </c>
      <c r="D26" s="8" t="s">
        <v>70</v>
      </c>
      <c r="E26" s="8">
        <v>2</v>
      </c>
      <c r="F26" s="8" t="s">
        <v>39</v>
      </c>
      <c r="G26" s="8" t="s">
        <v>47</v>
      </c>
      <c r="H26" s="8" t="s">
        <v>61</v>
      </c>
      <c r="I26" s="9">
        <v>6747.44</v>
      </c>
      <c r="J26" s="8" t="s">
        <v>61</v>
      </c>
      <c r="K26" s="9">
        <v>7083.23</v>
      </c>
      <c r="L26" s="9">
        <v>335.79</v>
      </c>
      <c r="M26" s="10">
        <v>4.97655407087725</v>
      </c>
      <c r="N26" s="12" t="s">
        <v>115</v>
      </c>
    </row>
    <row r="27" spans="1:14" ht="29" x14ac:dyDescent="0.35">
      <c r="A27" s="11">
        <v>478037</v>
      </c>
      <c r="B27" s="8" t="s">
        <v>14</v>
      </c>
      <c r="C27" s="8" t="s">
        <v>70</v>
      </c>
      <c r="D27" s="8" t="s">
        <v>70</v>
      </c>
      <c r="E27" s="8">
        <v>1</v>
      </c>
      <c r="F27" s="8" t="s">
        <v>39</v>
      </c>
      <c r="G27" s="8" t="s">
        <v>116</v>
      </c>
      <c r="H27" s="8" t="s">
        <v>61</v>
      </c>
      <c r="I27" s="9">
        <v>5618.68</v>
      </c>
      <c r="J27" s="8" t="s">
        <v>61</v>
      </c>
      <c r="K27" s="9">
        <v>5618.68</v>
      </c>
      <c r="L27" s="9">
        <v>0</v>
      </c>
      <c r="M27" s="10">
        <v>0</v>
      </c>
      <c r="N27" s="12" t="s">
        <v>117</v>
      </c>
    </row>
    <row r="28" spans="1:14" x14ac:dyDescent="0.35">
      <c r="A28" s="11">
        <v>475840</v>
      </c>
      <c r="B28" s="8" t="s">
        <v>14</v>
      </c>
      <c r="C28" s="8" t="s">
        <v>78</v>
      </c>
      <c r="D28" s="8" t="s">
        <v>78</v>
      </c>
      <c r="E28" s="8">
        <v>1</v>
      </c>
      <c r="F28" s="8" t="s">
        <v>44</v>
      </c>
      <c r="G28" s="8" t="s">
        <v>45</v>
      </c>
      <c r="H28" s="8" t="s">
        <v>61</v>
      </c>
      <c r="I28" s="9">
        <v>4748.6400000000003</v>
      </c>
      <c r="J28" s="8" t="s">
        <v>61</v>
      </c>
      <c r="K28" s="9">
        <v>5260.82</v>
      </c>
      <c r="L28" s="9">
        <v>512.17999999999904</v>
      </c>
      <c r="M28" s="10">
        <v>10.785824994103599</v>
      </c>
      <c r="N28" s="12" t="s">
        <v>118</v>
      </c>
    </row>
    <row r="29" spans="1:14" x14ac:dyDescent="0.35">
      <c r="A29" s="11">
        <v>518562</v>
      </c>
      <c r="B29" s="8" t="s">
        <v>14</v>
      </c>
      <c r="C29" s="8" t="s">
        <v>49</v>
      </c>
      <c r="D29" s="8" t="s">
        <v>49</v>
      </c>
      <c r="E29" s="8">
        <v>1</v>
      </c>
      <c r="F29" s="8" t="s">
        <v>50</v>
      </c>
      <c r="G29" s="8" t="s">
        <v>51</v>
      </c>
      <c r="H29" s="8" t="s">
        <v>61</v>
      </c>
      <c r="I29" s="9">
        <v>4404.91</v>
      </c>
      <c r="J29" s="8" t="s">
        <v>61</v>
      </c>
      <c r="K29" s="9">
        <v>5232.71</v>
      </c>
      <c r="L29" s="9">
        <v>827.8</v>
      </c>
      <c r="M29" s="10">
        <v>18.792665457409999</v>
      </c>
      <c r="N29" s="12" t="s">
        <v>52</v>
      </c>
    </row>
    <row r="30" spans="1:14" x14ac:dyDescent="0.35">
      <c r="A30" s="11">
        <v>674832</v>
      </c>
      <c r="B30" s="8" t="s">
        <v>14</v>
      </c>
      <c r="C30" s="8" t="s">
        <v>49</v>
      </c>
      <c r="D30" s="8" t="s">
        <v>49</v>
      </c>
      <c r="E30" s="8">
        <v>1</v>
      </c>
      <c r="F30" s="8" t="s">
        <v>50</v>
      </c>
      <c r="G30" s="8" t="s">
        <v>51</v>
      </c>
      <c r="H30" s="8" t="s">
        <v>61</v>
      </c>
      <c r="I30" s="9">
        <v>2929.82</v>
      </c>
      <c r="J30" s="8" t="s">
        <v>61</v>
      </c>
      <c r="K30" s="9">
        <v>4036.94</v>
      </c>
      <c r="L30" s="9">
        <v>1107.1199999999999</v>
      </c>
      <c r="M30" s="10">
        <v>37.787986975309103</v>
      </c>
      <c r="N30" s="12" t="s">
        <v>52</v>
      </c>
    </row>
    <row r="31" spans="1:14" x14ac:dyDescent="0.35">
      <c r="A31" s="11">
        <v>475433</v>
      </c>
      <c r="B31" s="8" t="s">
        <v>14</v>
      </c>
      <c r="C31" s="8" t="s">
        <v>49</v>
      </c>
      <c r="D31" s="8" t="s">
        <v>49</v>
      </c>
      <c r="E31" s="8">
        <v>1</v>
      </c>
      <c r="F31" s="8" t="s">
        <v>50</v>
      </c>
      <c r="G31" s="8" t="s">
        <v>51</v>
      </c>
      <c r="H31" s="8" t="s">
        <v>61</v>
      </c>
      <c r="I31" s="9">
        <v>3038.05</v>
      </c>
      <c r="J31" s="8" t="s">
        <v>61</v>
      </c>
      <c r="K31" s="9">
        <v>3979.36</v>
      </c>
      <c r="L31" s="9">
        <v>941.31</v>
      </c>
      <c r="M31" s="10">
        <v>30.9840193545202</v>
      </c>
      <c r="N31" s="12" t="s">
        <v>52</v>
      </c>
    </row>
    <row r="32" spans="1:14" x14ac:dyDescent="0.35">
      <c r="A32" s="11">
        <v>743626</v>
      </c>
      <c r="B32" s="8" t="s">
        <v>14</v>
      </c>
      <c r="C32" s="8" t="s">
        <v>53</v>
      </c>
      <c r="D32" s="8" t="s">
        <v>53</v>
      </c>
      <c r="E32" s="8">
        <v>1</v>
      </c>
      <c r="F32" s="8" t="s">
        <v>44</v>
      </c>
      <c r="G32" s="8" t="s">
        <v>45</v>
      </c>
      <c r="H32" s="8" t="s">
        <v>55</v>
      </c>
      <c r="I32" s="9">
        <v>3861.11</v>
      </c>
      <c r="J32" s="8" t="s">
        <v>71</v>
      </c>
      <c r="K32" s="9">
        <v>3958.63</v>
      </c>
      <c r="L32" s="9">
        <v>97.52</v>
      </c>
      <c r="M32" s="10">
        <v>2.5256985685463502</v>
      </c>
      <c r="N32" s="12" t="s">
        <v>54</v>
      </c>
    </row>
    <row r="33" spans="1:14" x14ac:dyDescent="0.35">
      <c r="A33" s="11">
        <v>475307</v>
      </c>
      <c r="B33" s="8" t="s">
        <v>14</v>
      </c>
      <c r="C33" s="8" t="s">
        <v>49</v>
      </c>
      <c r="D33" s="8" t="s">
        <v>49</v>
      </c>
      <c r="E33" s="8">
        <v>1</v>
      </c>
      <c r="F33" s="8" t="s">
        <v>50</v>
      </c>
      <c r="G33" s="8" t="s">
        <v>51</v>
      </c>
      <c r="H33" s="8" t="s">
        <v>61</v>
      </c>
      <c r="I33" s="9">
        <v>2599.87</v>
      </c>
      <c r="J33" s="8" t="s">
        <v>61</v>
      </c>
      <c r="K33" s="9">
        <v>3701.2</v>
      </c>
      <c r="L33" s="9">
        <v>1101.33</v>
      </c>
      <c r="M33" s="10">
        <v>42.360964202056302</v>
      </c>
      <c r="N33" s="12" t="s">
        <v>52</v>
      </c>
    </row>
    <row r="34" spans="1:14" x14ac:dyDescent="0.35">
      <c r="A34" s="11">
        <v>617332</v>
      </c>
      <c r="B34" s="8" t="s">
        <v>14</v>
      </c>
      <c r="C34" s="8" t="s">
        <v>70</v>
      </c>
      <c r="D34" s="8" t="s">
        <v>70</v>
      </c>
      <c r="E34" s="8">
        <v>1</v>
      </c>
      <c r="F34" s="8" t="s">
        <v>44</v>
      </c>
      <c r="G34" s="8" t="s">
        <v>45</v>
      </c>
      <c r="H34" s="8" t="s">
        <v>55</v>
      </c>
      <c r="I34" s="9">
        <v>2017.11</v>
      </c>
      <c r="J34" s="8" t="s">
        <v>71</v>
      </c>
      <c r="K34" s="9">
        <v>2090.69</v>
      </c>
      <c r="L34" s="9">
        <v>73.580000000000197</v>
      </c>
      <c r="M34" s="10">
        <v>3.6477931297747901</v>
      </c>
      <c r="N34" s="12" t="s">
        <v>119</v>
      </c>
    </row>
    <row r="35" spans="1:14" x14ac:dyDescent="0.35">
      <c r="A35" s="11">
        <v>604147</v>
      </c>
      <c r="B35" s="8" t="s">
        <v>14</v>
      </c>
      <c r="C35" s="8" t="s">
        <v>38</v>
      </c>
      <c r="D35" s="8" t="s">
        <v>38</v>
      </c>
      <c r="E35" s="8">
        <v>1</v>
      </c>
      <c r="F35" s="8" t="s">
        <v>44</v>
      </c>
      <c r="G35" s="8" t="s">
        <v>45</v>
      </c>
      <c r="H35" s="8" t="s">
        <v>61</v>
      </c>
      <c r="I35" s="9">
        <v>1347.26</v>
      </c>
      <c r="J35" s="8"/>
      <c r="K35" s="9">
        <v>1347.26</v>
      </c>
      <c r="L35" s="9">
        <v>0</v>
      </c>
      <c r="M35" s="10">
        <v>0</v>
      </c>
      <c r="N35" s="12" t="s">
        <v>46</v>
      </c>
    </row>
    <row r="36" spans="1:14" x14ac:dyDescent="0.35">
      <c r="A36" s="11">
        <v>477322</v>
      </c>
      <c r="B36" s="8" t="s">
        <v>14</v>
      </c>
      <c r="C36" s="8" t="s">
        <v>70</v>
      </c>
      <c r="D36" s="8" t="s">
        <v>70</v>
      </c>
      <c r="E36" s="8">
        <v>1</v>
      </c>
      <c r="F36" s="8" t="s">
        <v>39</v>
      </c>
      <c r="G36" s="8" t="s">
        <v>58</v>
      </c>
      <c r="H36" s="8" t="s">
        <v>55</v>
      </c>
      <c r="I36" s="9">
        <v>869.68</v>
      </c>
      <c r="J36" s="8"/>
      <c r="K36" s="9">
        <v>930.55</v>
      </c>
      <c r="L36" s="9">
        <v>60.87</v>
      </c>
      <c r="M36" s="10">
        <v>6.9991261153527802</v>
      </c>
      <c r="N36" s="12" t="s">
        <v>73</v>
      </c>
    </row>
    <row r="37" spans="1:14" x14ac:dyDescent="0.35">
      <c r="A37" s="11">
        <v>476080</v>
      </c>
      <c r="B37" s="8" t="s">
        <v>14</v>
      </c>
      <c r="C37" s="8" t="s">
        <v>38</v>
      </c>
      <c r="D37" s="8" t="s">
        <v>38</v>
      </c>
      <c r="E37" s="8">
        <v>1</v>
      </c>
      <c r="F37" s="8" t="s">
        <v>39</v>
      </c>
      <c r="G37" s="8" t="s">
        <v>40</v>
      </c>
      <c r="H37" s="8" t="s">
        <v>55</v>
      </c>
      <c r="I37" s="9">
        <v>697.5</v>
      </c>
      <c r="J37" s="8" t="s">
        <v>71</v>
      </c>
      <c r="K37" s="9">
        <v>756.22</v>
      </c>
      <c r="L37" s="9">
        <v>58.72</v>
      </c>
      <c r="M37" s="10">
        <v>8.4186379928315507</v>
      </c>
      <c r="N37" s="12" t="s">
        <v>43</v>
      </c>
    </row>
    <row r="38" spans="1:14" x14ac:dyDescent="0.35">
      <c r="A38" s="11">
        <v>475178</v>
      </c>
      <c r="B38" s="8" t="s">
        <v>14</v>
      </c>
      <c r="C38" s="8" t="s">
        <v>70</v>
      </c>
      <c r="D38" s="8" t="s">
        <v>70</v>
      </c>
      <c r="E38" s="8">
        <v>1</v>
      </c>
      <c r="F38" s="8" t="s">
        <v>39</v>
      </c>
      <c r="G38" s="8" t="s">
        <v>58</v>
      </c>
      <c r="H38" s="8" t="s">
        <v>56</v>
      </c>
      <c r="I38" s="9">
        <v>92.5</v>
      </c>
      <c r="J38" s="8"/>
      <c r="K38" s="9">
        <v>92.5</v>
      </c>
      <c r="L38" s="9">
        <v>0</v>
      </c>
      <c r="M38" s="10">
        <v>0</v>
      </c>
      <c r="N38" s="12" t="s">
        <v>73</v>
      </c>
    </row>
    <row r="39" spans="1:14" x14ac:dyDescent="0.35">
      <c r="A39" s="11">
        <v>475821</v>
      </c>
      <c r="B39" s="8" t="s">
        <v>14</v>
      </c>
      <c r="C39" s="8" t="s">
        <v>38</v>
      </c>
      <c r="D39" s="8" t="s">
        <v>38</v>
      </c>
      <c r="E39" s="8">
        <v>1</v>
      </c>
      <c r="F39" s="8" t="s">
        <v>44</v>
      </c>
      <c r="G39" s="8" t="s">
        <v>45</v>
      </c>
      <c r="H39" s="8" t="s">
        <v>61</v>
      </c>
      <c r="I39" s="9">
        <v>20.239999999999998</v>
      </c>
      <c r="J39" s="8" t="s">
        <v>61</v>
      </c>
      <c r="K39" s="9">
        <v>20.239999999999998</v>
      </c>
      <c r="L39" s="9">
        <v>0</v>
      </c>
      <c r="M39" s="10">
        <v>0</v>
      </c>
      <c r="N39" s="12" t="s">
        <v>46</v>
      </c>
    </row>
    <row r="40" spans="1:14" x14ac:dyDescent="0.35">
      <c r="A40" s="16">
        <v>476716</v>
      </c>
      <c r="B40" s="17" t="s">
        <v>14</v>
      </c>
      <c r="C40" s="17" t="s">
        <v>53</v>
      </c>
      <c r="D40" s="17" t="s">
        <v>53</v>
      </c>
      <c r="E40" s="17">
        <v>1</v>
      </c>
      <c r="F40" s="17" t="s">
        <v>39</v>
      </c>
      <c r="G40" s="17" t="s">
        <v>58</v>
      </c>
      <c r="H40" s="17" t="s">
        <v>56</v>
      </c>
      <c r="I40" s="18">
        <v>0.67</v>
      </c>
      <c r="J40" s="17"/>
      <c r="K40" s="18">
        <v>0.67</v>
      </c>
      <c r="L40" s="18">
        <v>0</v>
      </c>
      <c r="M40" s="19">
        <v>0</v>
      </c>
      <c r="N40" s="20" t="s">
        <v>120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10" customWidth="1"/>
    <col min="2" max="2" width="40" customWidth="1"/>
    <col min="3" max="4" width="14" customWidth="1"/>
    <col min="5" max="5" width="10" customWidth="1"/>
    <col min="6" max="6" width="14" customWidth="1"/>
    <col min="7" max="7" width="45" customWidth="1"/>
    <col min="8" max="8" width="22" customWidth="1"/>
    <col min="9" max="9" width="14" customWidth="1"/>
    <col min="10" max="10" width="22" customWidth="1"/>
    <col min="11" max="12" width="14" customWidth="1"/>
    <col min="13" max="13" width="10" customWidth="1"/>
    <col min="14" max="14" width="80" customWidth="1"/>
  </cols>
  <sheetData>
    <row r="1" spans="1:14" ht="21.75" customHeight="1" x14ac:dyDescent="0.4">
      <c r="A1" s="2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5">
      <c r="A2" s="22" t="s">
        <v>122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spans="1:14" ht="28" x14ac:dyDescent="0.35">
      <c r="A4" s="2" t="s">
        <v>27</v>
      </c>
      <c r="B4" s="2" t="s">
        <v>3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5</v>
      </c>
      <c r="J4" s="2" t="s">
        <v>34</v>
      </c>
      <c r="K4" s="2" t="s">
        <v>6</v>
      </c>
      <c r="L4" s="2" t="s">
        <v>35</v>
      </c>
      <c r="M4" s="2" t="s">
        <v>36</v>
      </c>
      <c r="N4" s="2" t="s">
        <v>37</v>
      </c>
    </row>
    <row r="5" spans="1:14" x14ac:dyDescent="0.35">
      <c r="A5" s="8">
        <v>475415</v>
      </c>
      <c r="B5" s="8" t="s">
        <v>8</v>
      </c>
      <c r="C5" s="8" t="s">
        <v>38</v>
      </c>
      <c r="D5" s="8" t="s">
        <v>38</v>
      </c>
      <c r="E5" s="8">
        <v>1</v>
      </c>
      <c r="F5" s="8" t="s">
        <v>39</v>
      </c>
      <c r="G5" s="8" t="s">
        <v>40</v>
      </c>
      <c r="H5" s="8" t="s">
        <v>41</v>
      </c>
      <c r="I5" s="9">
        <v>0</v>
      </c>
      <c r="J5" s="8" t="s">
        <v>42</v>
      </c>
      <c r="K5" s="9">
        <v>0</v>
      </c>
      <c r="L5" s="9"/>
      <c r="M5" s="10"/>
      <c r="N5" s="8" t="s">
        <v>43</v>
      </c>
    </row>
    <row r="6" spans="1:14" x14ac:dyDescent="0.35">
      <c r="A6" s="8">
        <v>475658</v>
      </c>
      <c r="B6" s="8" t="s">
        <v>8</v>
      </c>
      <c r="C6" s="8" t="s">
        <v>38</v>
      </c>
      <c r="D6" s="8" t="s">
        <v>38</v>
      </c>
      <c r="E6" s="8">
        <v>1</v>
      </c>
      <c r="F6" s="8" t="s">
        <v>44</v>
      </c>
      <c r="G6" s="8" t="s">
        <v>45</v>
      </c>
      <c r="H6" s="8" t="s">
        <v>41</v>
      </c>
      <c r="I6" s="9">
        <v>0</v>
      </c>
      <c r="J6" s="8" t="s">
        <v>42</v>
      </c>
      <c r="K6" s="9">
        <v>0</v>
      </c>
      <c r="L6" s="9"/>
      <c r="M6" s="10"/>
      <c r="N6" s="8" t="s">
        <v>46</v>
      </c>
    </row>
    <row r="7" spans="1:14" x14ac:dyDescent="0.35">
      <c r="A7" s="8">
        <v>476156</v>
      </c>
      <c r="B7" s="8" t="s">
        <v>8</v>
      </c>
      <c r="C7" s="8" t="s">
        <v>38</v>
      </c>
      <c r="D7" s="8" t="s">
        <v>38</v>
      </c>
      <c r="E7" s="8">
        <v>1</v>
      </c>
      <c r="F7" s="8" t="s">
        <v>39</v>
      </c>
      <c r="G7" s="8" t="s">
        <v>47</v>
      </c>
      <c r="H7" s="8" t="s">
        <v>41</v>
      </c>
      <c r="I7" s="9">
        <v>0</v>
      </c>
      <c r="J7" s="8" t="s">
        <v>42</v>
      </c>
      <c r="K7" s="9">
        <v>0</v>
      </c>
      <c r="L7" s="9"/>
      <c r="M7" s="10"/>
      <c r="N7" s="8" t="s">
        <v>48</v>
      </c>
    </row>
    <row r="8" spans="1:14" x14ac:dyDescent="0.35">
      <c r="A8" s="8">
        <v>477547</v>
      </c>
      <c r="B8" s="8" t="s">
        <v>8</v>
      </c>
      <c r="C8" s="8" t="s">
        <v>49</v>
      </c>
      <c r="D8" s="8" t="s">
        <v>49</v>
      </c>
      <c r="E8" s="8">
        <v>1</v>
      </c>
      <c r="F8" s="8" t="s">
        <v>50</v>
      </c>
      <c r="G8" s="8" t="s">
        <v>51</v>
      </c>
      <c r="H8" s="8" t="s">
        <v>41</v>
      </c>
      <c r="I8" s="9">
        <v>0</v>
      </c>
      <c r="J8" s="8" t="s">
        <v>42</v>
      </c>
      <c r="K8" s="9">
        <v>0</v>
      </c>
      <c r="L8" s="9"/>
      <c r="M8" s="10"/>
      <c r="N8" s="8" t="s">
        <v>52</v>
      </c>
    </row>
    <row r="9" spans="1:14" x14ac:dyDescent="0.35">
      <c r="A9" s="8">
        <v>477655</v>
      </c>
      <c r="B9" s="8" t="s">
        <v>8</v>
      </c>
      <c r="C9" s="8" t="s">
        <v>38</v>
      </c>
      <c r="D9" s="8" t="s">
        <v>38</v>
      </c>
      <c r="E9" s="8">
        <v>1</v>
      </c>
      <c r="F9" s="8" t="s">
        <v>44</v>
      </c>
      <c r="G9" s="8" t="s">
        <v>45</v>
      </c>
      <c r="H9" s="8" t="s">
        <v>41</v>
      </c>
      <c r="I9" s="9">
        <v>0</v>
      </c>
      <c r="J9" s="8" t="s">
        <v>42</v>
      </c>
      <c r="K9" s="9">
        <v>0</v>
      </c>
      <c r="L9" s="9"/>
      <c r="M9" s="10"/>
      <c r="N9" s="8" t="s">
        <v>46</v>
      </c>
    </row>
    <row r="10" spans="1:14" x14ac:dyDescent="0.35">
      <c r="A10" s="8">
        <v>477851</v>
      </c>
      <c r="B10" s="8" t="s">
        <v>8</v>
      </c>
      <c r="C10" s="8" t="s">
        <v>38</v>
      </c>
      <c r="D10" s="8" t="s">
        <v>38</v>
      </c>
      <c r="E10" s="8">
        <v>1</v>
      </c>
      <c r="F10" s="8" t="s">
        <v>39</v>
      </c>
      <c r="G10" s="8" t="s">
        <v>40</v>
      </c>
      <c r="H10" s="8" t="s">
        <v>41</v>
      </c>
      <c r="I10" s="9">
        <v>0</v>
      </c>
      <c r="J10" s="8" t="s">
        <v>42</v>
      </c>
      <c r="K10" s="9">
        <v>0</v>
      </c>
      <c r="L10" s="9"/>
      <c r="M10" s="10"/>
      <c r="N10" s="8" t="s">
        <v>43</v>
      </c>
    </row>
    <row r="11" spans="1:14" x14ac:dyDescent="0.35">
      <c r="A11" s="8">
        <v>477991</v>
      </c>
      <c r="B11" s="8" t="s">
        <v>8</v>
      </c>
      <c r="C11" s="8" t="s">
        <v>38</v>
      </c>
      <c r="D11" s="8" t="s">
        <v>38</v>
      </c>
      <c r="E11" s="8">
        <v>1</v>
      </c>
      <c r="F11" s="8" t="s">
        <v>44</v>
      </c>
      <c r="G11" s="8" t="s">
        <v>45</v>
      </c>
      <c r="H11" s="8" t="s">
        <v>41</v>
      </c>
      <c r="I11" s="9">
        <v>0</v>
      </c>
      <c r="J11" s="8" t="s">
        <v>42</v>
      </c>
      <c r="K11" s="9">
        <v>0</v>
      </c>
      <c r="L11" s="9"/>
      <c r="M11" s="10"/>
      <c r="N11" s="8" t="s">
        <v>46</v>
      </c>
    </row>
    <row r="12" spans="1:14" x14ac:dyDescent="0.35">
      <c r="A12" s="8">
        <v>478799</v>
      </c>
      <c r="B12" s="8" t="s">
        <v>8</v>
      </c>
      <c r="C12" s="8" t="s">
        <v>53</v>
      </c>
      <c r="D12" s="8" t="s">
        <v>53</v>
      </c>
      <c r="E12" s="8">
        <v>1</v>
      </c>
      <c r="F12" s="8" t="s">
        <v>44</v>
      </c>
      <c r="G12" s="8" t="s">
        <v>45</v>
      </c>
      <c r="H12" s="8" t="s">
        <v>41</v>
      </c>
      <c r="I12" s="9">
        <v>0</v>
      </c>
      <c r="J12" s="8" t="s">
        <v>42</v>
      </c>
      <c r="K12" s="9">
        <v>0</v>
      </c>
      <c r="L12" s="9"/>
      <c r="M12" s="10"/>
      <c r="N12" s="8" t="s">
        <v>54</v>
      </c>
    </row>
    <row r="13" spans="1:14" x14ac:dyDescent="0.35">
      <c r="A13" s="8">
        <v>604150</v>
      </c>
      <c r="B13" s="8" t="s">
        <v>8</v>
      </c>
      <c r="C13" s="8" t="s">
        <v>38</v>
      </c>
      <c r="D13" s="8" t="s">
        <v>38</v>
      </c>
      <c r="E13" s="8">
        <v>1</v>
      </c>
      <c r="F13" s="8" t="s">
        <v>44</v>
      </c>
      <c r="G13" s="8" t="s">
        <v>45</v>
      </c>
      <c r="H13" s="8" t="s">
        <v>41</v>
      </c>
      <c r="I13" s="9">
        <v>0</v>
      </c>
      <c r="J13" s="8" t="s">
        <v>42</v>
      </c>
      <c r="K13" s="9">
        <v>0</v>
      </c>
      <c r="L13" s="9"/>
      <c r="M13" s="10"/>
      <c r="N13" s="8" t="s">
        <v>46</v>
      </c>
    </row>
    <row r="14" spans="1:14" x14ac:dyDescent="0.35">
      <c r="A14" s="8">
        <v>679229</v>
      </c>
      <c r="B14" s="8" t="s">
        <v>8</v>
      </c>
      <c r="C14" s="8" t="s">
        <v>38</v>
      </c>
      <c r="D14" s="8" t="s">
        <v>38</v>
      </c>
      <c r="E14" s="8">
        <v>1</v>
      </c>
      <c r="F14" s="8" t="s">
        <v>39</v>
      </c>
      <c r="G14" s="8" t="s">
        <v>47</v>
      </c>
      <c r="H14" s="8" t="s">
        <v>41</v>
      </c>
      <c r="I14" s="9">
        <v>0</v>
      </c>
      <c r="J14" s="8" t="s">
        <v>42</v>
      </c>
      <c r="K14" s="9">
        <v>0</v>
      </c>
      <c r="L14" s="9"/>
      <c r="M14" s="10"/>
      <c r="N14" s="8" t="s">
        <v>48</v>
      </c>
    </row>
    <row r="15" spans="1:14" x14ac:dyDescent="0.35">
      <c r="A15" s="8">
        <v>696341</v>
      </c>
      <c r="B15" s="8" t="s">
        <v>8</v>
      </c>
      <c r="C15" s="8" t="s">
        <v>38</v>
      </c>
      <c r="D15" s="8" t="s">
        <v>38</v>
      </c>
      <c r="E15" s="8">
        <v>1</v>
      </c>
      <c r="F15" s="8" t="s">
        <v>39</v>
      </c>
      <c r="G15" s="8" t="s">
        <v>47</v>
      </c>
      <c r="H15" s="8" t="s">
        <v>41</v>
      </c>
      <c r="I15" s="9">
        <v>0</v>
      </c>
      <c r="J15" s="8" t="s">
        <v>42</v>
      </c>
      <c r="K15" s="9">
        <v>0</v>
      </c>
      <c r="L15" s="9"/>
      <c r="M15" s="10"/>
      <c r="N15" s="8" t="s">
        <v>48</v>
      </c>
    </row>
    <row r="16" spans="1:14" x14ac:dyDescent="0.35">
      <c r="A16" s="8">
        <v>476299</v>
      </c>
      <c r="B16" s="8" t="s">
        <v>9</v>
      </c>
      <c r="C16" s="8" t="s">
        <v>38</v>
      </c>
      <c r="D16" s="8" t="s">
        <v>38</v>
      </c>
      <c r="E16" s="8">
        <v>1</v>
      </c>
      <c r="F16" s="8" t="s">
        <v>44</v>
      </c>
      <c r="G16" s="8" t="s">
        <v>45</v>
      </c>
      <c r="H16" s="8" t="s">
        <v>55</v>
      </c>
      <c r="I16" s="9">
        <v>643.08000000000004</v>
      </c>
      <c r="J16" s="8" t="s">
        <v>42</v>
      </c>
      <c r="K16" s="9">
        <v>0</v>
      </c>
      <c r="L16" s="9">
        <v>-643.08000000000004</v>
      </c>
      <c r="M16" s="10">
        <v>-100</v>
      </c>
      <c r="N16" s="8" t="s">
        <v>46</v>
      </c>
    </row>
    <row r="17" spans="1:14" x14ac:dyDescent="0.35">
      <c r="A17" s="8">
        <v>477476</v>
      </c>
      <c r="B17" s="8" t="s">
        <v>9</v>
      </c>
      <c r="C17" s="8" t="s">
        <v>38</v>
      </c>
      <c r="D17" s="8" t="s">
        <v>38</v>
      </c>
      <c r="E17" s="8">
        <v>1</v>
      </c>
      <c r="F17" s="8" t="s">
        <v>44</v>
      </c>
      <c r="G17" s="8" t="s">
        <v>45</v>
      </c>
      <c r="H17" s="8" t="s">
        <v>56</v>
      </c>
      <c r="I17" s="9">
        <v>2422.2199999999998</v>
      </c>
      <c r="J17" s="8" t="s">
        <v>42</v>
      </c>
      <c r="K17" s="9">
        <v>0</v>
      </c>
      <c r="L17" s="9">
        <v>-2422.2199999999998</v>
      </c>
      <c r="M17" s="10">
        <v>-100</v>
      </c>
      <c r="N17" s="8" t="s">
        <v>46</v>
      </c>
    </row>
    <row r="18" spans="1:14" x14ac:dyDescent="0.35">
      <c r="A18" s="8">
        <v>572854</v>
      </c>
      <c r="B18" s="8" t="s">
        <v>9</v>
      </c>
      <c r="C18" s="8" t="s">
        <v>57</v>
      </c>
      <c r="D18" s="8" t="s">
        <v>57</v>
      </c>
      <c r="E18" s="8">
        <v>1</v>
      </c>
      <c r="F18" s="8" t="s">
        <v>39</v>
      </c>
      <c r="G18" s="8" t="s">
        <v>58</v>
      </c>
      <c r="H18" s="8" t="s">
        <v>55</v>
      </c>
      <c r="I18" s="9">
        <v>737.85</v>
      </c>
      <c r="J18" s="8" t="s">
        <v>42</v>
      </c>
      <c r="K18" s="9">
        <v>0</v>
      </c>
      <c r="L18" s="9">
        <v>-737.85</v>
      </c>
      <c r="M18" s="10">
        <v>-100</v>
      </c>
      <c r="N18" s="8" t="s">
        <v>59</v>
      </c>
    </row>
    <row r="19" spans="1:14" x14ac:dyDescent="0.35">
      <c r="A19" s="8">
        <v>697754</v>
      </c>
      <c r="B19" s="8" t="s">
        <v>9</v>
      </c>
      <c r="C19" s="8" t="s">
        <v>49</v>
      </c>
      <c r="D19" s="8" t="s">
        <v>49</v>
      </c>
      <c r="E19" s="8">
        <v>1</v>
      </c>
      <c r="F19" s="8" t="s">
        <v>44</v>
      </c>
      <c r="G19" s="8" t="s">
        <v>60</v>
      </c>
      <c r="H19" s="8" t="s">
        <v>61</v>
      </c>
      <c r="I19" s="9">
        <v>3593.98</v>
      </c>
      <c r="J19" s="8" t="s">
        <v>42</v>
      </c>
      <c r="K19" s="9">
        <v>0</v>
      </c>
      <c r="L19" s="9">
        <v>-3593.98</v>
      </c>
      <c r="M19" s="10">
        <v>-100</v>
      </c>
      <c r="N19" s="8" t="s">
        <v>62</v>
      </c>
    </row>
    <row r="20" spans="1:14" x14ac:dyDescent="0.35">
      <c r="A20" s="8">
        <v>660117</v>
      </c>
      <c r="B20" s="8" t="s">
        <v>10</v>
      </c>
      <c r="C20" s="8" t="s">
        <v>63</v>
      </c>
      <c r="D20" s="8" t="s">
        <v>63</v>
      </c>
      <c r="E20" s="8">
        <v>1</v>
      </c>
      <c r="F20" s="8" t="s">
        <v>39</v>
      </c>
      <c r="G20" s="8" t="s">
        <v>58</v>
      </c>
      <c r="H20" s="8" t="s">
        <v>55</v>
      </c>
      <c r="I20" s="9">
        <v>882</v>
      </c>
      <c r="J20" s="8" t="s">
        <v>64</v>
      </c>
      <c r="K20" s="9">
        <v>743.02</v>
      </c>
      <c r="L20" s="9">
        <v>-138.97999999999999</v>
      </c>
      <c r="M20" s="10">
        <v>-15.7573696145125</v>
      </c>
      <c r="N20" s="8" t="s">
        <v>65</v>
      </c>
    </row>
    <row r="21" spans="1:14" ht="29" x14ac:dyDescent="0.35">
      <c r="A21" s="8">
        <v>477124</v>
      </c>
      <c r="B21" s="8" t="s">
        <v>10</v>
      </c>
      <c r="C21" s="8" t="s">
        <v>38</v>
      </c>
      <c r="D21" s="8" t="s">
        <v>57</v>
      </c>
      <c r="E21" s="8">
        <v>2</v>
      </c>
      <c r="F21" s="8" t="s">
        <v>39</v>
      </c>
      <c r="G21" s="8" t="s">
        <v>66</v>
      </c>
      <c r="H21" s="8" t="s">
        <v>55</v>
      </c>
      <c r="I21" s="9">
        <v>484.53</v>
      </c>
      <c r="J21" s="8" t="s">
        <v>64</v>
      </c>
      <c r="K21" s="9">
        <v>540.59</v>
      </c>
      <c r="L21" s="9">
        <v>56.060000000000102</v>
      </c>
      <c r="M21" s="10">
        <v>11.5699750273461</v>
      </c>
      <c r="N21" s="8" t="s">
        <v>67</v>
      </c>
    </row>
    <row r="22" spans="1:14" x14ac:dyDescent="0.35">
      <c r="A22" s="8">
        <v>478933</v>
      </c>
      <c r="B22" s="8" t="s">
        <v>11</v>
      </c>
      <c r="C22" s="8" t="s">
        <v>53</v>
      </c>
      <c r="D22" s="8" t="s">
        <v>53</v>
      </c>
      <c r="E22" s="8">
        <v>1</v>
      </c>
      <c r="F22" s="8" t="s">
        <v>44</v>
      </c>
      <c r="G22" s="8" t="s">
        <v>45</v>
      </c>
      <c r="H22" s="8" t="s">
        <v>56</v>
      </c>
      <c r="I22" s="9">
        <v>13809.78</v>
      </c>
      <c r="J22" s="8"/>
      <c r="K22" s="9">
        <v>6313.32</v>
      </c>
      <c r="L22" s="9">
        <v>-7496.46</v>
      </c>
      <c r="M22" s="10">
        <v>-54.283703288539002</v>
      </c>
      <c r="N22" s="8" t="s">
        <v>54</v>
      </c>
    </row>
    <row r="23" spans="1:14" x14ac:dyDescent="0.35">
      <c r="A23" s="8">
        <v>518785</v>
      </c>
      <c r="B23" s="8" t="s">
        <v>12</v>
      </c>
      <c r="C23" s="8" t="s">
        <v>53</v>
      </c>
      <c r="D23" s="8" t="s">
        <v>53</v>
      </c>
      <c r="E23" s="8">
        <v>1</v>
      </c>
      <c r="F23" s="8" t="s">
        <v>44</v>
      </c>
      <c r="G23" s="8" t="s">
        <v>45</v>
      </c>
      <c r="H23" s="8" t="s">
        <v>61</v>
      </c>
      <c r="I23" s="9">
        <v>8352.2199999999993</v>
      </c>
      <c r="J23" s="8" t="s">
        <v>61</v>
      </c>
      <c r="K23" s="9">
        <v>7385.41</v>
      </c>
      <c r="L23" s="9">
        <v>-966.81</v>
      </c>
      <c r="M23" s="10">
        <v>-11.5754853200706</v>
      </c>
      <c r="N23" s="8" t="s">
        <v>54</v>
      </c>
    </row>
    <row r="24" spans="1:14" x14ac:dyDescent="0.35">
      <c r="A24" s="8">
        <v>477554</v>
      </c>
      <c r="B24" s="8" t="s">
        <v>12</v>
      </c>
      <c r="C24" s="8" t="s">
        <v>57</v>
      </c>
      <c r="D24" s="8" t="s">
        <v>57</v>
      </c>
      <c r="E24" s="8">
        <v>1</v>
      </c>
      <c r="F24" s="8" t="s">
        <v>39</v>
      </c>
      <c r="G24" s="8" t="s">
        <v>58</v>
      </c>
      <c r="H24" s="8" t="s">
        <v>55</v>
      </c>
      <c r="I24" s="9">
        <v>1015.54</v>
      </c>
      <c r="J24" s="8" t="s">
        <v>55</v>
      </c>
      <c r="K24" s="9">
        <v>876.05</v>
      </c>
      <c r="L24" s="9">
        <v>-139.49</v>
      </c>
      <c r="M24" s="10">
        <v>-13.7355495598401</v>
      </c>
      <c r="N24" s="8" t="s">
        <v>59</v>
      </c>
    </row>
    <row r="25" spans="1:14" ht="29" x14ac:dyDescent="0.35">
      <c r="A25" s="8">
        <v>478702</v>
      </c>
      <c r="B25" s="8" t="s">
        <v>12</v>
      </c>
      <c r="C25" s="8" t="s">
        <v>70</v>
      </c>
      <c r="D25" s="8" t="s">
        <v>57</v>
      </c>
      <c r="E25" s="8">
        <v>2</v>
      </c>
      <c r="F25" s="8" t="s">
        <v>39</v>
      </c>
      <c r="G25" s="8" t="s">
        <v>58</v>
      </c>
      <c r="H25" s="8" t="s">
        <v>55</v>
      </c>
      <c r="I25" s="9">
        <v>1061.04</v>
      </c>
      <c r="J25" s="8" t="s">
        <v>71</v>
      </c>
      <c r="K25" s="9">
        <v>823.34</v>
      </c>
      <c r="L25" s="9">
        <v>-237.7</v>
      </c>
      <c r="M25" s="10">
        <v>-22.402548443036999</v>
      </c>
      <c r="N25" s="8" t="s">
        <v>72</v>
      </c>
    </row>
    <row r="26" spans="1:14" x14ac:dyDescent="0.35">
      <c r="A26" s="8">
        <v>477483</v>
      </c>
      <c r="B26" s="8" t="s">
        <v>12</v>
      </c>
      <c r="C26" s="8" t="s">
        <v>38</v>
      </c>
      <c r="D26" s="8" t="s">
        <v>38</v>
      </c>
      <c r="E26" s="8">
        <v>1</v>
      </c>
      <c r="F26" s="8" t="s">
        <v>39</v>
      </c>
      <c r="G26" s="8" t="s">
        <v>40</v>
      </c>
      <c r="H26" s="8" t="s">
        <v>55</v>
      </c>
      <c r="I26" s="9">
        <v>789.47</v>
      </c>
      <c r="J26" s="8" t="s">
        <v>71</v>
      </c>
      <c r="K26" s="9">
        <v>624.34</v>
      </c>
      <c r="L26" s="9">
        <v>-165.13</v>
      </c>
      <c r="M26" s="10">
        <v>-20.916564277300001</v>
      </c>
      <c r="N26" s="8" t="s">
        <v>43</v>
      </c>
    </row>
    <row r="27" spans="1:14" x14ac:dyDescent="0.35">
      <c r="A27" s="8">
        <v>722650</v>
      </c>
      <c r="B27" s="8" t="s">
        <v>12</v>
      </c>
      <c r="C27" s="8" t="s">
        <v>70</v>
      </c>
      <c r="D27" s="8" t="s">
        <v>70</v>
      </c>
      <c r="E27" s="8">
        <v>1</v>
      </c>
      <c r="F27" s="8" t="s">
        <v>39</v>
      </c>
      <c r="G27" s="8" t="s">
        <v>58</v>
      </c>
      <c r="H27" s="8" t="s">
        <v>55</v>
      </c>
      <c r="I27" s="9">
        <v>670.69</v>
      </c>
      <c r="J27" s="8" t="s">
        <v>71</v>
      </c>
      <c r="K27" s="9">
        <v>578.23</v>
      </c>
      <c r="L27" s="9">
        <v>-92.46</v>
      </c>
      <c r="M27" s="10">
        <v>-13.7858026808213</v>
      </c>
      <c r="N27" s="8" t="s">
        <v>73</v>
      </c>
    </row>
    <row r="28" spans="1:14" ht="29" x14ac:dyDescent="0.35">
      <c r="A28" s="8">
        <v>476837</v>
      </c>
      <c r="B28" s="8" t="s">
        <v>12</v>
      </c>
      <c r="C28" s="8" t="s">
        <v>38</v>
      </c>
      <c r="D28" s="8" t="s">
        <v>57</v>
      </c>
      <c r="E28" s="8">
        <v>2</v>
      </c>
      <c r="F28" s="8" t="s">
        <v>39</v>
      </c>
      <c r="G28" s="8" t="s">
        <v>66</v>
      </c>
      <c r="H28" s="8" t="s">
        <v>55</v>
      </c>
      <c r="I28" s="9">
        <v>692.69</v>
      </c>
      <c r="J28" s="8" t="s">
        <v>55</v>
      </c>
      <c r="K28" s="9">
        <v>551.35</v>
      </c>
      <c r="L28" s="9">
        <v>-141.34</v>
      </c>
      <c r="M28" s="10">
        <v>-20.404509953947699</v>
      </c>
      <c r="N28" s="8" t="s">
        <v>67</v>
      </c>
    </row>
    <row r="29" spans="1:14" ht="29" x14ac:dyDescent="0.35">
      <c r="A29" s="8">
        <v>475630</v>
      </c>
      <c r="B29" s="8" t="s">
        <v>13</v>
      </c>
      <c r="C29" s="8" t="s">
        <v>70</v>
      </c>
      <c r="D29" s="8" t="s">
        <v>57</v>
      </c>
      <c r="E29" s="8">
        <v>2</v>
      </c>
      <c r="F29" s="8" t="s">
        <v>44</v>
      </c>
      <c r="G29" s="8" t="s">
        <v>76</v>
      </c>
      <c r="H29" s="8" t="s">
        <v>56</v>
      </c>
      <c r="I29" s="9">
        <v>26198.01</v>
      </c>
      <c r="J29" s="8"/>
      <c r="K29" s="9">
        <v>29210.51</v>
      </c>
      <c r="L29" s="9">
        <v>3012.5</v>
      </c>
      <c r="M29" s="10">
        <v>11.4989649977231</v>
      </c>
      <c r="N29" s="8" t="s">
        <v>77</v>
      </c>
    </row>
    <row r="30" spans="1:14" ht="29" x14ac:dyDescent="0.35">
      <c r="A30" s="8">
        <v>475248</v>
      </c>
      <c r="B30" s="8" t="s">
        <v>13</v>
      </c>
      <c r="C30" s="8" t="s">
        <v>78</v>
      </c>
      <c r="D30" s="8" t="s">
        <v>57</v>
      </c>
      <c r="E30" s="8">
        <v>3</v>
      </c>
      <c r="F30" s="8" t="s">
        <v>44</v>
      </c>
      <c r="G30" s="8" t="s">
        <v>79</v>
      </c>
      <c r="H30" s="8" t="s">
        <v>61</v>
      </c>
      <c r="I30" s="9">
        <v>13736.14</v>
      </c>
      <c r="J30" s="8" t="s">
        <v>61</v>
      </c>
      <c r="K30" s="9">
        <v>13878.33</v>
      </c>
      <c r="L30" s="9">
        <v>142.19000000000099</v>
      </c>
      <c r="M30" s="10">
        <v>1.0351525246539499</v>
      </c>
      <c r="N30" s="8" t="s">
        <v>80</v>
      </c>
    </row>
    <row r="31" spans="1:14" ht="29" x14ac:dyDescent="0.35">
      <c r="A31" s="8">
        <v>476688</v>
      </c>
      <c r="B31" s="8" t="s">
        <v>13</v>
      </c>
      <c r="C31" s="8" t="s">
        <v>53</v>
      </c>
      <c r="D31" s="8" t="s">
        <v>57</v>
      </c>
      <c r="E31" s="8">
        <v>2</v>
      </c>
      <c r="F31" s="8" t="s">
        <v>39</v>
      </c>
      <c r="G31" s="8" t="s">
        <v>81</v>
      </c>
      <c r="H31" s="8" t="s">
        <v>61</v>
      </c>
      <c r="I31" s="9">
        <v>9758.2800000000007</v>
      </c>
      <c r="J31" s="8" t="s">
        <v>61</v>
      </c>
      <c r="K31" s="9">
        <v>11001.43</v>
      </c>
      <c r="L31" s="9">
        <v>1243.1500000000001</v>
      </c>
      <c r="M31" s="10">
        <v>12.7394376877892</v>
      </c>
      <c r="N31" s="8" t="s">
        <v>82</v>
      </c>
    </row>
    <row r="32" spans="1:14" x14ac:dyDescent="0.35">
      <c r="A32" s="8">
        <v>479669</v>
      </c>
      <c r="B32" s="8" t="s">
        <v>13</v>
      </c>
      <c r="C32" s="8" t="s">
        <v>57</v>
      </c>
      <c r="D32" s="8" t="s">
        <v>57</v>
      </c>
      <c r="E32" s="8">
        <v>1</v>
      </c>
      <c r="F32" s="8" t="s">
        <v>44</v>
      </c>
      <c r="G32" s="8" t="s">
        <v>45</v>
      </c>
      <c r="H32" s="8" t="s">
        <v>61</v>
      </c>
      <c r="I32" s="9">
        <v>4623.6000000000004</v>
      </c>
      <c r="J32" s="8" t="s">
        <v>61</v>
      </c>
      <c r="K32" s="9">
        <v>4623.6000000000004</v>
      </c>
      <c r="L32" s="9">
        <v>0</v>
      </c>
      <c r="M32" s="10">
        <v>0</v>
      </c>
      <c r="N32" s="8" t="s">
        <v>83</v>
      </c>
    </row>
    <row r="33" spans="1:14" ht="29" x14ac:dyDescent="0.35">
      <c r="A33" s="8">
        <v>629356</v>
      </c>
      <c r="B33" s="8" t="s">
        <v>13</v>
      </c>
      <c r="C33" s="8" t="s">
        <v>53</v>
      </c>
      <c r="D33" s="8" t="s">
        <v>57</v>
      </c>
      <c r="E33" s="8">
        <v>2</v>
      </c>
      <c r="F33" s="8" t="s">
        <v>44</v>
      </c>
      <c r="G33" s="8" t="s">
        <v>84</v>
      </c>
      <c r="H33" s="8" t="s">
        <v>61</v>
      </c>
      <c r="I33" s="9">
        <v>3693.17</v>
      </c>
      <c r="J33" s="8" t="s">
        <v>61</v>
      </c>
      <c r="K33" s="9">
        <v>3935.67</v>
      </c>
      <c r="L33" s="9">
        <v>242.5</v>
      </c>
      <c r="M33" s="10">
        <v>6.5661748579133903</v>
      </c>
      <c r="N33" s="8" t="s">
        <v>85</v>
      </c>
    </row>
    <row r="34" spans="1:14" ht="29" x14ac:dyDescent="0.35">
      <c r="A34" s="8">
        <v>789970</v>
      </c>
      <c r="B34" s="8" t="s">
        <v>13</v>
      </c>
      <c r="C34" s="8" t="s">
        <v>49</v>
      </c>
      <c r="D34" s="8" t="s">
        <v>57</v>
      </c>
      <c r="E34" s="8">
        <v>2</v>
      </c>
      <c r="F34" s="8" t="s">
        <v>44</v>
      </c>
      <c r="G34" s="8" t="s">
        <v>86</v>
      </c>
      <c r="H34" s="8" t="s">
        <v>87</v>
      </c>
      <c r="I34" s="9">
        <v>3487.81</v>
      </c>
      <c r="J34" s="8" t="s">
        <v>87</v>
      </c>
      <c r="K34" s="9">
        <v>3536.56</v>
      </c>
      <c r="L34" s="9">
        <v>48.75</v>
      </c>
      <c r="M34" s="10">
        <v>1.3977252201238</v>
      </c>
      <c r="N34" s="8" t="s">
        <v>88</v>
      </c>
    </row>
    <row r="35" spans="1:14" x14ac:dyDescent="0.35">
      <c r="A35" s="8">
        <v>478487</v>
      </c>
      <c r="B35" s="8" t="s">
        <v>13</v>
      </c>
      <c r="C35" s="8" t="s">
        <v>57</v>
      </c>
      <c r="D35" s="8" t="s">
        <v>57</v>
      </c>
      <c r="E35" s="8">
        <v>1</v>
      </c>
      <c r="F35" s="8" t="s">
        <v>44</v>
      </c>
      <c r="G35" s="8" t="s">
        <v>45</v>
      </c>
      <c r="H35" s="8" t="s">
        <v>61</v>
      </c>
      <c r="I35" s="9">
        <v>3292.8</v>
      </c>
      <c r="J35" s="8" t="s">
        <v>61</v>
      </c>
      <c r="K35" s="9">
        <v>3369.19</v>
      </c>
      <c r="L35" s="9">
        <v>76.389999999999901</v>
      </c>
      <c r="M35" s="10">
        <v>2.3199101068999002</v>
      </c>
      <c r="N35" s="8" t="s">
        <v>83</v>
      </c>
    </row>
    <row r="36" spans="1:14" x14ac:dyDescent="0.35">
      <c r="A36" s="8">
        <v>805139</v>
      </c>
      <c r="B36" s="8" t="s">
        <v>13</v>
      </c>
      <c r="C36" s="8" t="s">
        <v>57</v>
      </c>
      <c r="D36" s="8" t="s">
        <v>57</v>
      </c>
      <c r="E36" s="8">
        <v>1</v>
      </c>
      <c r="F36" s="8" t="s">
        <v>44</v>
      </c>
      <c r="G36" s="8" t="s">
        <v>45</v>
      </c>
      <c r="H36" s="8" t="s">
        <v>61</v>
      </c>
      <c r="I36" s="9">
        <v>2648.68</v>
      </c>
      <c r="J36" s="8" t="s">
        <v>61</v>
      </c>
      <c r="K36" s="9">
        <v>2710.68</v>
      </c>
      <c r="L36" s="9">
        <v>62</v>
      </c>
      <c r="M36" s="10">
        <v>2.3407886192367502</v>
      </c>
      <c r="N36" s="8" t="s">
        <v>83</v>
      </c>
    </row>
    <row r="37" spans="1:14" ht="29" x14ac:dyDescent="0.35">
      <c r="A37" s="8">
        <v>477145</v>
      </c>
      <c r="B37" s="8" t="s">
        <v>13</v>
      </c>
      <c r="C37" s="8" t="s">
        <v>53</v>
      </c>
      <c r="D37" s="8" t="s">
        <v>57</v>
      </c>
      <c r="E37" s="8">
        <v>3</v>
      </c>
      <c r="F37" s="8" t="s">
        <v>39</v>
      </c>
      <c r="G37" s="8" t="s">
        <v>58</v>
      </c>
      <c r="H37" s="8" t="s">
        <v>89</v>
      </c>
      <c r="I37" s="9">
        <v>2165.84</v>
      </c>
      <c r="J37" s="8" t="s">
        <v>89</v>
      </c>
      <c r="K37" s="9">
        <v>2238.4499999999998</v>
      </c>
      <c r="L37" s="9">
        <v>72.609999999999701</v>
      </c>
      <c r="M37" s="10">
        <v>3.3525098806929301</v>
      </c>
      <c r="N37" s="8" t="s">
        <v>90</v>
      </c>
    </row>
    <row r="38" spans="1:14" ht="29" x14ac:dyDescent="0.35">
      <c r="A38" s="8">
        <v>475145</v>
      </c>
      <c r="B38" s="8" t="s">
        <v>13</v>
      </c>
      <c r="C38" s="8" t="s">
        <v>70</v>
      </c>
      <c r="D38" s="8" t="s">
        <v>57</v>
      </c>
      <c r="E38" s="8">
        <v>2</v>
      </c>
      <c r="F38" s="8" t="s">
        <v>44</v>
      </c>
      <c r="G38" s="8" t="s">
        <v>91</v>
      </c>
      <c r="H38" s="8" t="s">
        <v>89</v>
      </c>
      <c r="I38" s="9">
        <v>1987.87</v>
      </c>
      <c r="J38" s="8" t="s">
        <v>61</v>
      </c>
      <c r="K38" s="9">
        <v>2164.84</v>
      </c>
      <c r="L38" s="9">
        <v>176.97</v>
      </c>
      <c r="M38" s="10">
        <v>8.9024936238285299</v>
      </c>
      <c r="N38" s="8" t="s">
        <v>92</v>
      </c>
    </row>
    <row r="39" spans="1:14" x14ac:dyDescent="0.35">
      <c r="A39" s="8">
        <v>475816</v>
      </c>
      <c r="B39" s="8" t="s">
        <v>14</v>
      </c>
      <c r="C39" s="8" t="s">
        <v>78</v>
      </c>
      <c r="D39" s="8" t="s">
        <v>78</v>
      </c>
      <c r="E39" s="8">
        <v>1</v>
      </c>
      <c r="F39" s="8" t="s">
        <v>44</v>
      </c>
      <c r="G39" s="8" t="s">
        <v>84</v>
      </c>
      <c r="H39" s="8" t="s">
        <v>61</v>
      </c>
      <c r="I39" s="9">
        <v>20624.43</v>
      </c>
      <c r="J39" s="8" t="s">
        <v>61</v>
      </c>
      <c r="K39" s="9">
        <v>24378.07</v>
      </c>
      <c r="L39" s="9">
        <v>3753.64</v>
      </c>
      <c r="M39" s="10">
        <v>18.199969647646</v>
      </c>
      <c r="N39" s="8" t="s">
        <v>95</v>
      </c>
    </row>
    <row r="40" spans="1:14" x14ac:dyDescent="0.35">
      <c r="A40" s="8">
        <v>478678</v>
      </c>
      <c r="B40" s="8" t="s">
        <v>14</v>
      </c>
      <c r="C40" s="8" t="s">
        <v>53</v>
      </c>
      <c r="D40" s="8" t="s">
        <v>53</v>
      </c>
      <c r="E40" s="8">
        <v>1</v>
      </c>
      <c r="F40" s="8" t="s">
        <v>44</v>
      </c>
      <c r="G40" s="8" t="s">
        <v>45</v>
      </c>
      <c r="H40" s="8" t="s">
        <v>61</v>
      </c>
      <c r="I40" s="9">
        <v>16761.73</v>
      </c>
      <c r="J40" s="8" t="s">
        <v>61</v>
      </c>
      <c r="K40" s="9">
        <v>17992.48</v>
      </c>
      <c r="L40" s="9">
        <v>1230.75</v>
      </c>
      <c r="M40" s="10">
        <v>7.3426191687850801</v>
      </c>
      <c r="N40" s="8" t="s">
        <v>54</v>
      </c>
    </row>
    <row r="41" spans="1:14" x14ac:dyDescent="0.35">
      <c r="A41" s="8">
        <v>478639</v>
      </c>
      <c r="B41" s="8" t="s">
        <v>14</v>
      </c>
      <c r="C41" s="8" t="s">
        <v>63</v>
      </c>
      <c r="D41" s="8" t="s">
        <v>63</v>
      </c>
      <c r="E41" s="8">
        <v>1</v>
      </c>
      <c r="F41" s="8" t="s">
        <v>44</v>
      </c>
      <c r="G41" s="8" t="s">
        <v>84</v>
      </c>
      <c r="H41" s="8" t="s">
        <v>61</v>
      </c>
      <c r="I41" s="9">
        <v>10838.89</v>
      </c>
      <c r="J41" s="8" t="s">
        <v>61</v>
      </c>
      <c r="K41" s="9">
        <v>12061.53</v>
      </c>
      <c r="L41" s="9">
        <v>1222.6400000000001</v>
      </c>
      <c r="M41" s="10">
        <v>11.2801218574965</v>
      </c>
      <c r="N41" s="8" t="s">
        <v>96</v>
      </c>
    </row>
    <row r="42" spans="1:14" x14ac:dyDescent="0.35">
      <c r="A42" s="8">
        <v>477403</v>
      </c>
      <c r="B42" s="8" t="s">
        <v>14</v>
      </c>
      <c r="C42" s="8" t="s">
        <v>38</v>
      </c>
      <c r="D42" s="8" t="s">
        <v>38</v>
      </c>
      <c r="E42" s="8">
        <v>1</v>
      </c>
      <c r="F42" s="8" t="s">
        <v>44</v>
      </c>
      <c r="G42" s="8" t="s">
        <v>97</v>
      </c>
      <c r="H42" s="8" t="s">
        <v>61</v>
      </c>
      <c r="I42" s="9">
        <v>11793.22</v>
      </c>
      <c r="J42" s="8" t="s">
        <v>61</v>
      </c>
      <c r="K42" s="9">
        <v>11882.11</v>
      </c>
      <c r="L42" s="9">
        <v>88.890000000001194</v>
      </c>
      <c r="M42" s="10">
        <v>0.75373816480996103</v>
      </c>
      <c r="N42" s="8" t="s">
        <v>98</v>
      </c>
    </row>
    <row r="43" spans="1:14" ht="29" x14ac:dyDescent="0.35">
      <c r="A43" s="8">
        <v>475404</v>
      </c>
      <c r="B43" s="8" t="s">
        <v>14</v>
      </c>
      <c r="C43" s="8" t="s">
        <v>38</v>
      </c>
      <c r="D43" s="8" t="s">
        <v>63</v>
      </c>
      <c r="E43" s="8">
        <v>3</v>
      </c>
      <c r="F43" s="8" t="s">
        <v>44</v>
      </c>
      <c r="G43" s="8" t="s">
        <v>79</v>
      </c>
      <c r="H43" s="8" t="s">
        <v>61</v>
      </c>
      <c r="I43" s="9">
        <v>9666.17</v>
      </c>
      <c r="J43" s="8" t="s">
        <v>61</v>
      </c>
      <c r="K43" s="9">
        <v>11811.38</v>
      </c>
      <c r="L43" s="9">
        <v>2145.21</v>
      </c>
      <c r="M43" s="10">
        <v>22.192967845589301</v>
      </c>
      <c r="N43" s="8" t="s">
        <v>99</v>
      </c>
    </row>
    <row r="44" spans="1:14" x14ac:dyDescent="0.35">
      <c r="A44" s="8">
        <v>476445</v>
      </c>
      <c r="B44" s="8" t="s">
        <v>14</v>
      </c>
      <c r="C44" s="8" t="s">
        <v>63</v>
      </c>
      <c r="D44" s="8" t="s">
        <v>63</v>
      </c>
      <c r="E44" s="8">
        <v>1</v>
      </c>
      <c r="F44" s="8" t="s">
        <v>44</v>
      </c>
      <c r="G44" s="8" t="s">
        <v>84</v>
      </c>
      <c r="H44" s="8" t="s">
        <v>61</v>
      </c>
      <c r="I44" s="9">
        <v>10388.450000000001</v>
      </c>
      <c r="J44" s="8" t="s">
        <v>61</v>
      </c>
      <c r="K44" s="9">
        <v>11675.33</v>
      </c>
      <c r="L44" s="9">
        <v>1286.8800000000001</v>
      </c>
      <c r="M44" s="10">
        <v>12.387603540470399</v>
      </c>
      <c r="N44" s="8" t="s">
        <v>96</v>
      </c>
    </row>
    <row r="45" spans="1:14" x14ac:dyDescent="0.35">
      <c r="A45" s="8">
        <v>673358</v>
      </c>
      <c r="B45" s="8" t="s">
        <v>14</v>
      </c>
      <c r="C45" s="8" t="s">
        <v>70</v>
      </c>
      <c r="D45" s="8" t="s">
        <v>70</v>
      </c>
      <c r="E45" s="8">
        <v>1</v>
      </c>
      <c r="F45" s="8" t="s">
        <v>44</v>
      </c>
      <c r="G45" s="8" t="s">
        <v>100</v>
      </c>
      <c r="H45" s="8" t="s">
        <v>61</v>
      </c>
      <c r="I45" s="9">
        <v>11055.46</v>
      </c>
      <c r="J45" s="8" t="s">
        <v>61</v>
      </c>
      <c r="K45" s="9">
        <v>11055.46</v>
      </c>
      <c r="L45" s="9">
        <v>0</v>
      </c>
      <c r="M45" s="10">
        <v>0</v>
      </c>
      <c r="N45" s="8" t="s">
        <v>101</v>
      </c>
    </row>
    <row r="46" spans="1:14" x14ac:dyDescent="0.35">
      <c r="A46" s="8">
        <v>478075</v>
      </c>
      <c r="B46" s="8" t="s">
        <v>14</v>
      </c>
      <c r="C46" s="8" t="s">
        <v>70</v>
      </c>
      <c r="D46" s="8" t="s">
        <v>70</v>
      </c>
      <c r="E46" s="8">
        <v>1</v>
      </c>
      <c r="F46" s="8" t="s">
        <v>44</v>
      </c>
      <c r="G46" s="8" t="s">
        <v>100</v>
      </c>
      <c r="H46" s="8" t="s">
        <v>56</v>
      </c>
      <c r="I46" s="9">
        <v>7700</v>
      </c>
      <c r="J46" s="8"/>
      <c r="K46" s="9">
        <v>10650</v>
      </c>
      <c r="L46" s="9">
        <v>2950</v>
      </c>
      <c r="M46" s="10">
        <v>38.3116883116883</v>
      </c>
      <c r="N46" s="8" t="s">
        <v>101</v>
      </c>
    </row>
    <row r="47" spans="1:14" ht="29" x14ac:dyDescent="0.35">
      <c r="A47" s="8">
        <v>478431</v>
      </c>
      <c r="B47" s="8" t="s">
        <v>14</v>
      </c>
      <c r="C47" s="8" t="s">
        <v>49</v>
      </c>
      <c r="D47" s="8" t="s">
        <v>49</v>
      </c>
      <c r="E47" s="8">
        <v>1</v>
      </c>
      <c r="F47" s="8" t="s">
        <v>44</v>
      </c>
      <c r="G47" s="8" t="s">
        <v>102</v>
      </c>
      <c r="H47" s="8" t="s">
        <v>56</v>
      </c>
      <c r="I47" s="9">
        <v>7650</v>
      </c>
      <c r="J47" s="8"/>
      <c r="K47" s="9">
        <v>10648.75</v>
      </c>
      <c r="L47" s="9">
        <v>2998.75</v>
      </c>
      <c r="M47" s="10">
        <v>39.199346405228802</v>
      </c>
      <c r="N47" s="8" t="s">
        <v>103</v>
      </c>
    </row>
    <row r="48" spans="1:14" x14ac:dyDescent="0.35">
      <c r="A48" s="8">
        <v>477963</v>
      </c>
      <c r="B48" s="8" t="s">
        <v>14</v>
      </c>
      <c r="C48" s="8" t="s">
        <v>70</v>
      </c>
      <c r="D48" s="8" t="s">
        <v>70</v>
      </c>
      <c r="E48" s="8">
        <v>1</v>
      </c>
      <c r="F48" s="8" t="s">
        <v>44</v>
      </c>
      <c r="G48" s="8" t="s">
        <v>100</v>
      </c>
      <c r="H48" s="8" t="s">
        <v>55</v>
      </c>
      <c r="I48" s="9">
        <v>7480.61</v>
      </c>
      <c r="J48" s="8" t="s">
        <v>71</v>
      </c>
      <c r="K48" s="9">
        <v>10555.72</v>
      </c>
      <c r="L48" s="9">
        <v>3075.11</v>
      </c>
      <c r="M48" s="10">
        <v>41.107743887196399</v>
      </c>
      <c r="N48" s="8" t="s">
        <v>101</v>
      </c>
    </row>
    <row r="49" spans="1:14" x14ac:dyDescent="0.35">
      <c r="A49" s="8">
        <v>477413</v>
      </c>
      <c r="B49" s="8" t="s">
        <v>14</v>
      </c>
      <c r="C49" s="8" t="s">
        <v>38</v>
      </c>
      <c r="D49" s="8" t="s">
        <v>38</v>
      </c>
      <c r="E49" s="8">
        <v>1</v>
      </c>
      <c r="F49" s="8" t="s">
        <v>39</v>
      </c>
      <c r="G49" s="8" t="s">
        <v>104</v>
      </c>
      <c r="H49" s="8" t="s">
        <v>61</v>
      </c>
      <c r="I49" s="9">
        <v>9868.07</v>
      </c>
      <c r="J49" s="8" t="s">
        <v>61</v>
      </c>
      <c r="K49" s="9">
        <v>9868.07</v>
      </c>
      <c r="L49" s="9">
        <v>0</v>
      </c>
      <c r="M49" s="10">
        <v>0</v>
      </c>
      <c r="N49" s="8" t="s">
        <v>105</v>
      </c>
    </row>
    <row r="50" spans="1:14" x14ac:dyDescent="0.35">
      <c r="A50" s="8">
        <v>475316</v>
      </c>
      <c r="B50" s="8" t="s">
        <v>14</v>
      </c>
      <c r="C50" s="8" t="s">
        <v>38</v>
      </c>
      <c r="D50" s="8" t="s">
        <v>38</v>
      </c>
      <c r="E50" s="8">
        <v>1</v>
      </c>
      <c r="F50" s="8" t="s">
        <v>39</v>
      </c>
      <c r="G50" s="8" t="s">
        <v>47</v>
      </c>
      <c r="H50" s="8" t="s">
        <v>61</v>
      </c>
      <c r="I50" s="9">
        <v>9652.26</v>
      </c>
      <c r="J50" s="8" t="s">
        <v>61</v>
      </c>
      <c r="K50" s="9">
        <v>9729.17</v>
      </c>
      <c r="L50" s="9">
        <v>76.909999999999897</v>
      </c>
      <c r="M50" s="10">
        <v>0.79680820864750701</v>
      </c>
      <c r="N50" s="8" t="s">
        <v>48</v>
      </c>
    </row>
    <row r="51" spans="1:14" ht="29" x14ac:dyDescent="0.35">
      <c r="A51" s="8">
        <v>478410</v>
      </c>
      <c r="B51" s="8" t="s">
        <v>14</v>
      </c>
      <c r="C51" s="8" t="s">
        <v>49</v>
      </c>
      <c r="D51" s="8" t="s">
        <v>49</v>
      </c>
      <c r="E51" s="8">
        <v>1</v>
      </c>
      <c r="F51" s="8" t="s">
        <v>44</v>
      </c>
      <c r="G51" s="8" t="s">
        <v>102</v>
      </c>
      <c r="H51" s="8" t="s">
        <v>61</v>
      </c>
      <c r="I51" s="9">
        <v>5885.96</v>
      </c>
      <c r="J51" s="8" t="s">
        <v>61</v>
      </c>
      <c r="K51" s="9">
        <v>8835.9599999999991</v>
      </c>
      <c r="L51" s="9">
        <v>2950</v>
      </c>
      <c r="M51" s="10">
        <v>50.119266865557996</v>
      </c>
      <c r="N51" s="8" t="s">
        <v>103</v>
      </c>
    </row>
    <row r="52" spans="1:14" ht="29" x14ac:dyDescent="0.35">
      <c r="A52" s="8">
        <v>579928</v>
      </c>
      <c r="B52" s="8" t="s">
        <v>14</v>
      </c>
      <c r="C52" s="8" t="s">
        <v>49</v>
      </c>
      <c r="D52" s="8" t="s">
        <v>49</v>
      </c>
      <c r="E52" s="8">
        <v>1</v>
      </c>
      <c r="F52" s="8" t="s">
        <v>44</v>
      </c>
      <c r="G52" s="8" t="s">
        <v>106</v>
      </c>
      <c r="H52" s="8" t="s">
        <v>55</v>
      </c>
      <c r="I52" s="9">
        <v>5415.89</v>
      </c>
      <c r="J52" s="8" t="s">
        <v>71</v>
      </c>
      <c r="K52" s="9">
        <v>8472.33</v>
      </c>
      <c r="L52" s="9">
        <v>3056.44</v>
      </c>
      <c r="M52" s="10">
        <v>56.434676479765997</v>
      </c>
      <c r="N52" s="8" t="s">
        <v>107</v>
      </c>
    </row>
    <row r="53" spans="1:14" ht="29" x14ac:dyDescent="0.35">
      <c r="A53" s="8">
        <v>764438</v>
      </c>
      <c r="B53" s="8" t="s">
        <v>14</v>
      </c>
      <c r="C53" s="8" t="s">
        <v>70</v>
      </c>
      <c r="D53" s="8" t="s">
        <v>108</v>
      </c>
      <c r="E53" s="8">
        <v>3</v>
      </c>
      <c r="F53" s="8" t="s">
        <v>44</v>
      </c>
      <c r="G53" s="8" t="s">
        <v>45</v>
      </c>
      <c r="H53" s="8" t="s">
        <v>61</v>
      </c>
      <c r="I53" s="9">
        <v>6209.08</v>
      </c>
      <c r="J53" s="8" t="s">
        <v>61</v>
      </c>
      <c r="K53" s="9">
        <v>8339.52</v>
      </c>
      <c r="L53" s="9">
        <v>2130.44</v>
      </c>
      <c r="M53" s="10">
        <v>34.311685467090101</v>
      </c>
      <c r="N53" s="8" t="s">
        <v>109</v>
      </c>
    </row>
    <row r="54" spans="1:14" x14ac:dyDescent="0.35">
      <c r="A54" s="8">
        <v>478718</v>
      </c>
      <c r="B54" s="8" t="s">
        <v>14</v>
      </c>
      <c r="C54" s="8" t="s">
        <v>70</v>
      </c>
      <c r="D54" s="8" t="s">
        <v>70</v>
      </c>
      <c r="E54" s="8">
        <v>1</v>
      </c>
      <c r="F54" s="8" t="s">
        <v>44</v>
      </c>
      <c r="G54" s="8" t="s">
        <v>84</v>
      </c>
      <c r="H54" s="8" t="s">
        <v>61</v>
      </c>
      <c r="I54" s="9">
        <v>8290.75</v>
      </c>
      <c r="J54" s="8"/>
      <c r="K54" s="9">
        <v>8220.6299999999992</v>
      </c>
      <c r="L54" s="9">
        <v>-70.1200000000008</v>
      </c>
      <c r="M54" s="10">
        <v>-0.84576184301783097</v>
      </c>
      <c r="N54" s="8" t="s">
        <v>110</v>
      </c>
    </row>
    <row r="55" spans="1:14" x14ac:dyDescent="0.35">
      <c r="A55" s="8">
        <v>474966</v>
      </c>
      <c r="B55" s="8" t="s">
        <v>14</v>
      </c>
      <c r="C55" s="8" t="s">
        <v>38</v>
      </c>
      <c r="D55" s="8" t="s">
        <v>70</v>
      </c>
      <c r="E55" s="8">
        <v>2</v>
      </c>
      <c r="F55" s="8" t="s">
        <v>44</v>
      </c>
      <c r="G55" s="8" t="s">
        <v>111</v>
      </c>
      <c r="H55" s="8" t="s">
        <v>112</v>
      </c>
      <c r="I55" s="9">
        <v>8849.7000000000007</v>
      </c>
      <c r="J55" s="8" t="s">
        <v>112</v>
      </c>
      <c r="K55" s="9">
        <v>8205.77</v>
      </c>
      <c r="L55" s="9">
        <v>-643.92999999999995</v>
      </c>
      <c r="M55" s="10">
        <v>-7.2762918517011901</v>
      </c>
      <c r="N55" s="8" t="s">
        <v>113</v>
      </c>
    </row>
    <row r="56" spans="1:14" ht="29" x14ac:dyDescent="0.35">
      <c r="A56" s="8">
        <v>476119</v>
      </c>
      <c r="B56" s="8" t="s">
        <v>14</v>
      </c>
      <c r="C56" s="8" t="s">
        <v>53</v>
      </c>
      <c r="D56" s="8" t="s">
        <v>70</v>
      </c>
      <c r="E56" s="8">
        <v>2</v>
      </c>
      <c r="F56" s="8" t="s">
        <v>39</v>
      </c>
      <c r="G56" s="8" t="s">
        <v>47</v>
      </c>
      <c r="H56" s="8" t="s">
        <v>61</v>
      </c>
      <c r="I56" s="9">
        <v>7625.63</v>
      </c>
      <c r="J56" s="8" t="s">
        <v>61</v>
      </c>
      <c r="K56" s="9">
        <v>8117.19</v>
      </c>
      <c r="L56" s="9">
        <v>491.56</v>
      </c>
      <c r="M56" s="10">
        <v>6.44615592416626</v>
      </c>
      <c r="N56" s="8" t="s">
        <v>114</v>
      </c>
    </row>
    <row r="57" spans="1:14" x14ac:dyDescent="0.35">
      <c r="A57" s="8">
        <v>476708</v>
      </c>
      <c r="B57" s="8" t="s">
        <v>14</v>
      </c>
      <c r="C57" s="8" t="s">
        <v>38</v>
      </c>
      <c r="D57" s="8" t="s">
        <v>38</v>
      </c>
      <c r="E57" s="8">
        <v>1</v>
      </c>
      <c r="F57" s="8" t="s">
        <v>44</v>
      </c>
      <c r="G57" s="8" t="s">
        <v>45</v>
      </c>
      <c r="H57" s="8" t="s">
        <v>61</v>
      </c>
      <c r="I57" s="9">
        <v>6831.9</v>
      </c>
      <c r="J57" s="8" t="s">
        <v>61</v>
      </c>
      <c r="K57" s="9">
        <v>7783.12</v>
      </c>
      <c r="L57" s="9">
        <v>951.22</v>
      </c>
      <c r="M57" s="10">
        <v>13.923213161785201</v>
      </c>
      <c r="N57" s="8" t="s">
        <v>46</v>
      </c>
    </row>
    <row r="58" spans="1:14" ht="29" x14ac:dyDescent="0.35">
      <c r="A58" s="8">
        <v>476511</v>
      </c>
      <c r="B58" s="8" t="s">
        <v>14</v>
      </c>
      <c r="C58" s="8" t="s">
        <v>49</v>
      </c>
      <c r="D58" s="8" t="s">
        <v>49</v>
      </c>
      <c r="E58" s="8">
        <v>1</v>
      </c>
      <c r="F58" s="8" t="s">
        <v>44</v>
      </c>
      <c r="G58" s="8" t="s">
        <v>102</v>
      </c>
      <c r="H58" s="8" t="s">
        <v>56</v>
      </c>
      <c r="I58" s="9">
        <v>4600</v>
      </c>
      <c r="J58" s="8"/>
      <c r="K58" s="9">
        <v>7598.75</v>
      </c>
      <c r="L58" s="9">
        <v>2998.75</v>
      </c>
      <c r="M58" s="10">
        <v>65.190217391304301</v>
      </c>
      <c r="N58" s="8" t="s">
        <v>103</v>
      </c>
    </row>
    <row r="59" spans="1:14" x14ac:dyDescent="0.35">
      <c r="A59" s="8">
        <v>478973</v>
      </c>
      <c r="B59" s="8" t="s">
        <v>14</v>
      </c>
      <c r="C59" s="8" t="s">
        <v>38</v>
      </c>
      <c r="D59" s="8" t="s">
        <v>38</v>
      </c>
      <c r="E59" s="8">
        <v>1</v>
      </c>
      <c r="F59" s="8" t="s">
        <v>39</v>
      </c>
      <c r="G59" s="8" t="s">
        <v>47</v>
      </c>
      <c r="H59" s="8" t="s">
        <v>61</v>
      </c>
      <c r="I59" s="9">
        <v>7004.91</v>
      </c>
      <c r="J59" s="8" t="s">
        <v>61</v>
      </c>
      <c r="K59" s="9">
        <v>7148.66</v>
      </c>
      <c r="L59" s="9">
        <v>143.75</v>
      </c>
      <c r="M59" s="10">
        <v>2.05213200455109</v>
      </c>
      <c r="N59" s="8" t="s">
        <v>48</v>
      </c>
    </row>
    <row r="60" spans="1:14" ht="29" x14ac:dyDescent="0.35">
      <c r="A60" s="8">
        <v>476614</v>
      </c>
      <c r="B60" s="8" t="s">
        <v>14</v>
      </c>
      <c r="C60" s="8" t="s">
        <v>38</v>
      </c>
      <c r="D60" s="8" t="s">
        <v>70</v>
      </c>
      <c r="E60" s="8">
        <v>2</v>
      </c>
      <c r="F60" s="8" t="s">
        <v>39</v>
      </c>
      <c r="G60" s="8" t="s">
        <v>47</v>
      </c>
      <c r="H60" s="8" t="s">
        <v>61</v>
      </c>
      <c r="I60" s="9">
        <v>6747.44</v>
      </c>
      <c r="J60" s="8" t="s">
        <v>61</v>
      </c>
      <c r="K60" s="9">
        <v>7083.23</v>
      </c>
      <c r="L60" s="9">
        <v>335.79</v>
      </c>
      <c r="M60" s="10">
        <v>4.97655407087725</v>
      </c>
      <c r="N60" s="8" t="s">
        <v>115</v>
      </c>
    </row>
    <row r="61" spans="1:14" ht="29" x14ac:dyDescent="0.35">
      <c r="A61" s="8">
        <v>478037</v>
      </c>
      <c r="B61" s="8" t="s">
        <v>14</v>
      </c>
      <c r="C61" s="8" t="s">
        <v>70</v>
      </c>
      <c r="D61" s="8" t="s">
        <v>70</v>
      </c>
      <c r="E61" s="8">
        <v>1</v>
      </c>
      <c r="F61" s="8" t="s">
        <v>39</v>
      </c>
      <c r="G61" s="8" t="s">
        <v>116</v>
      </c>
      <c r="H61" s="8" t="s">
        <v>61</v>
      </c>
      <c r="I61" s="9">
        <v>5618.68</v>
      </c>
      <c r="J61" s="8" t="s">
        <v>61</v>
      </c>
      <c r="K61" s="9">
        <v>5618.68</v>
      </c>
      <c r="L61" s="9">
        <v>0</v>
      </c>
      <c r="M61" s="10">
        <v>0</v>
      </c>
      <c r="N61" s="8" t="s">
        <v>117</v>
      </c>
    </row>
    <row r="62" spans="1:14" x14ac:dyDescent="0.35">
      <c r="A62" s="8">
        <v>475840</v>
      </c>
      <c r="B62" s="8" t="s">
        <v>14</v>
      </c>
      <c r="C62" s="8" t="s">
        <v>78</v>
      </c>
      <c r="D62" s="8" t="s">
        <v>78</v>
      </c>
      <c r="E62" s="8">
        <v>1</v>
      </c>
      <c r="F62" s="8" t="s">
        <v>44</v>
      </c>
      <c r="G62" s="8" t="s">
        <v>45</v>
      </c>
      <c r="H62" s="8" t="s">
        <v>61</v>
      </c>
      <c r="I62" s="9">
        <v>4748.6400000000003</v>
      </c>
      <c r="J62" s="8" t="s">
        <v>61</v>
      </c>
      <c r="K62" s="9">
        <v>5260.82</v>
      </c>
      <c r="L62" s="9">
        <v>512.17999999999904</v>
      </c>
      <c r="M62" s="10">
        <v>10.785824994103599</v>
      </c>
      <c r="N62" s="8" t="s">
        <v>118</v>
      </c>
    </row>
    <row r="63" spans="1:14" x14ac:dyDescent="0.35">
      <c r="A63" s="8">
        <v>518562</v>
      </c>
      <c r="B63" s="8" t="s">
        <v>14</v>
      </c>
      <c r="C63" s="8" t="s">
        <v>49</v>
      </c>
      <c r="D63" s="8" t="s">
        <v>49</v>
      </c>
      <c r="E63" s="8">
        <v>1</v>
      </c>
      <c r="F63" s="8" t="s">
        <v>50</v>
      </c>
      <c r="G63" s="8" t="s">
        <v>51</v>
      </c>
      <c r="H63" s="8" t="s">
        <v>61</v>
      </c>
      <c r="I63" s="9">
        <v>4404.91</v>
      </c>
      <c r="J63" s="8" t="s">
        <v>61</v>
      </c>
      <c r="K63" s="9">
        <v>5232.71</v>
      </c>
      <c r="L63" s="9">
        <v>827.8</v>
      </c>
      <c r="M63" s="10">
        <v>18.792665457409999</v>
      </c>
      <c r="N63" s="8" t="s">
        <v>52</v>
      </c>
    </row>
    <row r="64" spans="1:14" x14ac:dyDescent="0.35">
      <c r="A64" s="8">
        <v>674832</v>
      </c>
      <c r="B64" s="8" t="s">
        <v>14</v>
      </c>
      <c r="C64" s="8" t="s">
        <v>49</v>
      </c>
      <c r="D64" s="8" t="s">
        <v>49</v>
      </c>
      <c r="E64" s="8">
        <v>1</v>
      </c>
      <c r="F64" s="8" t="s">
        <v>50</v>
      </c>
      <c r="G64" s="8" t="s">
        <v>51</v>
      </c>
      <c r="H64" s="8" t="s">
        <v>61</v>
      </c>
      <c r="I64" s="9">
        <v>2929.82</v>
      </c>
      <c r="J64" s="8" t="s">
        <v>61</v>
      </c>
      <c r="K64" s="9">
        <v>4036.94</v>
      </c>
      <c r="L64" s="9">
        <v>1107.1199999999999</v>
      </c>
      <c r="M64" s="10">
        <v>37.787986975309103</v>
      </c>
      <c r="N64" s="8" t="s">
        <v>52</v>
      </c>
    </row>
    <row r="65" spans="1:14" x14ac:dyDescent="0.35">
      <c r="A65" s="8">
        <v>475433</v>
      </c>
      <c r="B65" s="8" t="s">
        <v>14</v>
      </c>
      <c r="C65" s="8" t="s">
        <v>49</v>
      </c>
      <c r="D65" s="8" t="s">
        <v>49</v>
      </c>
      <c r="E65" s="8">
        <v>1</v>
      </c>
      <c r="F65" s="8" t="s">
        <v>50</v>
      </c>
      <c r="G65" s="8" t="s">
        <v>51</v>
      </c>
      <c r="H65" s="8" t="s">
        <v>61</v>
      </c>
      <c r="I65" s="9">
        <v>3038.05</v>
      </c>
      <c r="J65" s="8" t="s">
        <v>61</v>
      </c>
      <c r="K65" s="9">
        <v>3979.36</v>
      </c>
      <c r="L65" s="9">
        <v>941.31</v>
      </c>
      <c r="M65" s="10">
        <v>30.9840193545202</v>
      </c>
      <c r="N65" s="8" t="s">
        <v>52</v>
      </c>
    </row>
    <row r="66" spans="1:14" x14ac:dyDescent="0.35">
      <c r="A66" s="8">
        <v>743626</v>
      </c>
      <c r="B66" s="8" t="s">
        <v>14</v>
      </c>
      <c r="C66" s="8" t="s">
        <v>53</v>
      </c>
      <c r="D66" s="8" t="s">
        <v>53</v>
      </c>
      <c r="E66" s="8">
        <v>1</v>
      </c>
      <c r="F66" s="8" t="s">
        <v>44</v>
      </c>
      <c r="G66" s="8" t="s">
        <v>45</v>
      </c>
      <c r="H66" s="8" t="s">
        <v>55</v>
      </c>
      <c r="I66" s="9">
        <v>3861.11</v>
      </c>
      <c r="J66" s="8" t="s">
        <v>71</v>
      </c>
      <c r="K66" s="9">
        <v>3958.63</v>
      </c>
      <c r="L66" s="9">
        <v>97.52</v>
      </c>
      <c r="M66" s="10">
        <v>2.5256985685463502</v>
      </c>
      <c r="N66" s="8" t="s">
        <v>54</v>
      </c>
    </row>
    <row r="67" spans="1:14" x14ac:dyDescent="0.35">
      <c r="A67" s="8">
        <v>475307</v>
      </c>
      <c r="B67" s="8" t="s">
        <v>14</v>
      </c>
      <c r="C67" s="8" t="s">
        <v>49</v>
      </c>
      <c r="D67" s="8" t="s">
        <v>49</v>
      </c>
      <c r="E67" s="8">
        <v>1</v>
      </c>
      <c r="F67" s="8" t="s">
        <v>50</v>
      </c>
      <c r="G67" s="8" t="s">
        <v>51</v>
      </c>
      <c r="H67" s="8" t="s">
        <v>61</v>
      </c>
      <c r="I67" s="9">
        <v>2599.87</v>
      </c>
      <c r="J67" s="8" t="s">
        <v>61</v>
      </c>
      <c r="K67" s="9">
        <v>3701.2</v>
      </c>
      <c r="L67" s="9">
        <v>1101.33</v>
      </c>
      <c r="M67" s="10">
        <v>42.360964202056302</v>
      </c>
      <c r="N67" s="8" t="s">
        <v>52</v>
      </c>
    </row>
    <row r="68" spans="1:14" x14ac:dyDescent="0.35">
      <c r="A68" s="8">
        <v>617332</v>
      </c>
      <c r="B68" s="8" t="s">
        <v>14</v>
      </c>
      <c r="C68" s="8" t="s">
        <v>70</v>
      </c>
      <c r="D68" s="8" t="s">
        <v>70</v>
      </c>
      <c r="E68" s="8">
        <v>1</v>
      </c>
      <c r="F68" s="8" t="s">
        <v>44</v>
      </c>
      <c r="G68" s="8" t="s">
        <v>45</v>
      </c>
      <c r="H68" s="8" t="s">
        <v>55</v>
      </c>
      <c r="I68" s="9">
        <v>2017.11</v>
      </c>
      <c r="J68" s="8" t="s">
        <v>71</v>
      </c>
      <c r="K68" s="9">
        <v>2090.69</v>
      </c>
      <c r="L68" s="9">
        <v>73.580000000000197</v>
      </c>
      <c r="M68" s="10">
        <v>3.6477931297747901</v>
      </c>
      <c r="N68" s="8" t="s">
        <v>119</v>
      </c>
    </row>
    <row r="69" spans="1:14" x14ac:dyDescent="0.35">
      <c r="A69" s="8">
        <v>604147</v>
      </c>
      <c r="B69" s="8" t="s">
        <v>14</v>
      </c>
      <c r="C69" s="8" t="s">
        <v>38</v>
      </c>
      <c r="D69" s="8" t="s">
        <v>38</v>
      </c>
      <c r="E69" s="8">
        <v>1</v>
      </c>
      <c r="F69" s="8" t="s">
        <v>44</v>
      </c>
      <c r="G69" s="8" t="s">
        <v>45</v>
      </c>
      <c r="H69" s="8" t="s">
        <v>61</v>
      </c>
      <c r="I69" s="9">
        <v>1347.26</v>
      </c>
      <c r="J69" s="8"/>
      <c r="K69" s="9">
        <v>1347.26</v>
      </c>
      <c r="L69" s="9">
        <v>0</v>
      </c>
      <c r="M69" s="10">
        <v>0</v>
      </c>
      <c r="N69" s="8" t="s">
        <v>46</v>
      </c>
    </row>
    <row r="70" spans="1:14" x14ac:dyDescent="0.35">
      <c r="A70" s="8">
        <v>477322</v>
      </c>
      <c r="B70" s="8" t="s">
        <v>14</v>
      </c>
      <c r="C70" s="8" t="s">
        <v>70</v>
      </c>
      <c r="D70" s="8" t="s">
        <v>70</v>
      </c>
      <c r="E70" s="8">
        <v>1</v>
      </c>
      <c r="F70" s="8" t="s">
        <v>39</v>
      </c>
      <c r="G70" s="8" t="s">
        <v>58</v>
      </c>
      <c r="H70" s="8" t="s">
        <v>55</v>
      </c>
      <c r="I70" s="9">
        <v>869.68</v>
      </c>
      <c r="J70" s="8"/>
      <c r="K70" s="9">
        <v>930.55</v>
      </c>
      <c r="L70" s="9">
        <v>60.87</v>
      </c>
      <c r="M70" s="10">
        <v>6.9991261153527802</v>
      </c>
      <c r="N70" s="8" t="s">
        <v>73</v>
      </c>
    </row>
    <row r="71" spans="1:14" x14ac:dyDescent="0.35">
      <c r="A71" s="8">
        <v>476080</v>
      </c>
      <c r="B71" s="8" t="s">
        <v>14</v>
      </c>
      <c r="C71" s="8" t="s">
        <v>38</v>
      </c>
      <c r="D71" s="8" t="s">
        <v>38</v>
      </c>
      <c r="E71" s="8">
        <v>1</v>
      </c>
      <c r="F71" s="8" t="s">
        <v>39</v>
      </c>
      <c r="G71" s="8" t="s">
        <v>40</v>
      </c>
      <c r="H71" s="8" t="s">
        <v>55</v>
      </c>
      <c r="I71" s="9">
        <v>697.5</v>
      </c>
      <c r="J71" s="8" t="s">
        <v>71</v>
      </c>
      <c r="K71" s="9">
        <v>756.22</v>
      </c>
      <c r="L71" s="9">
        <v>58.72</v>
      </c>
      <c r="M71" s="10">
        <v>8.4186379928315507</v>
      </c>
      <c r="N71" s="8" t="s">
        <v>43</v>
      </c>
    </row>
    <row r="72" spans="1:14" x14ac:dyDescent="0.35">
      <c r="A72" s="8">
        <v>475178</v>
      </c>
      <c r="B72" s="8" t="s">
        <v>14</v>
      </c>
      <c r="C72" s="8" t="s">
        <v>70</v>
      </c>
      <c r="D72" s="8" t="s">
        <v>70</v>
      </c>
      <c r="E72" s="8">
        <v>1</v>
      </c>
      <c r="F72" s="8" t="s">
        <v>39</v>
      </c>
      <c r="G72" s="8" t="s">
        <v>58</v>
      </c>
      <c r="H72" s="8" t="s">
        <v>56</v>
      </c>
      <c r="I72" s="9">
        <v>92.5</v>
      </c>
      <c r="J72" s="8"/>
      <c r="K72" s="9">
        <v>92.5</v>
      </c>
      <c r="L72" s="9">
        <v>0</v>
      </c>
      <c r="M72" s="10">
        <v>0</v>
      </c>
      <c r="N72" s="8" t="s">
        <v>73</v>
      </c>
    </row>
    <row r="73" spans="1:14" x14ac:dyDescent="0.35">
      <c r="A73" s="8">
        <v>475821</v>
      </c>
      <c r="B73" s="8" t="s">
        <v>14</v>
      </c>
      <c r="C73" s="8" t="s">
        <v>38</v>
      </c>
      <c r="D73" s="8" t="s">
        <v>38</v>
      </c>
      <c r="E73" s="8">
        <v>1</v>
      </c>
      <c r="F73" s="8" t="s">
        <v>44</v>
      </c>
      <c r="G73" s="8" t="s">
        <v>45</v>
      </c>
      <c r="H73" s="8" t="s">
        <v>61</v>
      </c>
      <c r="I73" s="9">
        <v>20.239999999999998</v>
      </c>
      <c r="J73" s="8" t="s">
        <v>61</v>
      </c>
      <c r="K73" s="9">
        <v>20.239999999999998</v>
      </c>
      <c r="L73" s="9">
        <v>0</v>
      </c>
      <c r="M73" s="10">
        <v>0</v>
      </c>
      <c r="N73" s="8" t="s">
        <v>46</v>
      </c>
    </row>
    <row r="74" spans="1:14" x14ac:dyDescent="0.35">
      <c r="A74" s="8">
        <v>476716</v>
      </c>
      <c r="B74" s="8" t="s">
        <v>14</v>
      </c>
      <c r="C74" s="8" t="s">
        <v>53</v>
      </c>
      <c r="D74" s="8" t="s">
        <v>53</v>
      </c>
      <c r="E74" s="8">
        <v>1</v>
      </c>
      <c r="F74" s="8" t="s">
        <v>39</v>
      </c>
      <c r="G74" s="8" t="s">
        <v>58</v>
      </c>
      <c r="H74" s="8" t="s">
        <v>56</v>
      </c>
      <c r="I74" s="9">
        <v>0.67</v>
      </c>
      <c r="J74" s="8"/>
      <c r="K74" s="9">
        <v>0.67</v>
      </c>
      <c r="L74" s="9">
        <v>0</v>
      </c>
      <c r="M74" s="10">
        <v>0</v>
      </c>
      <c r="N74" s="8" t="s">
        <v>120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Worked</vt:lpstr>
      <vt:lpstr>Partial Improvement</vt:lpstr>
      <vt:lpstr>Pending</vt:lpstr>
      <vt:lpstr>Still Not Paying</vt:lpstr>
      <vt:lpstr>All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Sanders, Dan</cp:lastModifiedBy>
  <cp:revision>0</cp:revision>
  <dcterms:created xsi:type="dcterms:W3CDTF">2026-04-29T22:38:32Z</dcterms:created>
  <dcterms:modified xsi:type="dcterms:W3CDTF">2026-05-05T13:38:53Z</dcterms:modified>
  <dc:language>en-US</dc:language>
</cp:coreProperties>
</file>